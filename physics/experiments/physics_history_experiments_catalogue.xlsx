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lgo\Notes\math_physics\physics\experiments\"/>
    </mc:Choice>
  </mc:AlternateContent>
  <xr:revisionPtr revIDLastSave="0" documentId="13_ncr:1_{D564D668-7571-4D78-91F0-8177DD67E066}" xr6:coauthVersionLast="47" xr6:coauthVersionMax="47" xr10:uidLastSave="{00000000-0000-0000-0000-000000000000}"/>
  <bookViews>
    <workbookView xWindow="-110" yWindow="-110" windowWidth="38620" windowHeight="21100" activeTab="1" xr2:uid="{00000000-000D-0000-FFFF-FFFF00000000}"/>
  </bookViews>
  <sheets>
    <sheet name="README" sheetId="1" r:id="rId1"/>
    <sheet name="Experiments" sheetId="2" r:id="rId2"/>
    <sheet name="Summary" sheetId="3" r:id="rId3"/>
    <sheet name="Bibliography" sheetId="4" r:id="rId4"/>
    <sheet name="Glossa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1" i="3" l="1"/>
  <c r="B70" i="3"/>
  <c r="B69" i="3"/>
  <c r="B68" i="3"/>
  <c r="B67" i="3"/>
  <c r="B66" i="3"/>
  <c r="B65" i="3"/>
  <c r="B64" i="3"/>
  <c r="B63" i="3"/>
  <c r="B62" i="3"/>
  <c r="B61" i="3"/>
  <c r="B60" i="3"/>
  <c r="B59" i="3"/>
  <c r="B58" i="3"/>
  <c r="B57" i="3"/>
  <c r="C57" i="3" s="1"/>
  <c r="B56" i="3"/>
  <c r="C56" i="3" s="1"/>
  <c r="B55" i="3"/>
  <c r="C55" i="3" s="1"/>
  <c r="B54" i="3"/>
  <c r="C54" i="3" s="1"/>
  <c r="B53" i="3"/>
  <c r="C53" i="3" s="1"/>
  <c r="B52" i="3"/>
  <c r="C52" i="3" s="1"/>
  <c r="B51" i="3"/>
  <c r="B50" i="3"/>
  <c r="B49" i="3"/>
  <c r="B48" i="3"/>
  <c r="B47" i="3"/>
  <c r="B46" i="3"/>
  <c r="B45" i="3"/>
  <c r="B44" i="3"/>
  <c r="B43" i="3"/>
  <c r="B42" i="3"/>
  <c r="B41" i="3"/>
  <c r="B40" i="3"/>
  <c r="B39" i="3"/>
  <c r="B38" i="3"/>
  <c r="B37" i="3"/>
  <c r="C37" i="3" s="1"/>
  <c r="B36" i="3"/>
  <c r="C36" i="3" s="1"/>
  <c r="B35" i="3"/>
  <c r="C35" i="3" s="1"/>
  <c r="B34" i="3"/>
  <c r="C34" i="3" s="1"/>
  <c r="B33" i="3"/>
  <c r="C33" i="3" s="1"/>
  <c r="B32" i="3"/>
  <c r="C32" i="3" s="1"/>
  <c r="B31" i="3"/>
  <c r="B30" i="3"/>
  <c r="B29" i="3"/>
  <c r="B28" i="3"/>
  <c r="B27" i="3"/>
  <c r="B26" i="3"/>
  <c r="B25" i="3"/>
  <c r="B24" i="3"/>
  <c r="F23" i="3"/>
  <c r="B23" i="3"/>
  <c r="F22" i="3"/>
  <c r="B22" i="3"/>
  <c r="F21" i="3"/>
  <c r="B21" i="3"/>
  <c r="F20" i="3"/>
  <c r="B20" i="3"/>
  <c r="C20" i="3" s="1"/>
  <c r="F19" i="3"/>
  <c r="B19" i="3"/>
  <c r="C19" i="3" s="1"/>
  <c r="F18" i="3"/>
  <c r="B18" i="3"/>
  <c r="C18" i="3" s="1"/>
  <c r="F17" i="3"/>
  <c r="B17" i="3"/>
  <c r="B16" i="3"/>
  <c r="B15" i="3"/>
  <c r="B14" i="3"/>
  <c r="F13" i="3"/>
  <c r="B13" i="3"/>
  <c r="F12" i="3"/>
  <c r="B12" i="3"/>
  <c r="F11" i="3"/>
  <c r="B11" i="3"/>
  <c r="B7" i="3"/>
  <c r="B6" i="3"/>
  <c r="B5" i="3"/>
  <c r="B4" i="3"/>
  <c r="C11" i="3" s="1"/>
  <c r="C21" i="3" l="1"/>
  <c r="C40" i="3"/>
  <c r="C61" i="3"/>
  <c r="C12" i="3"/>
  <c r="C44" i="3"/>
  <c r="C45" i="3"/>
  <c r="C26" i="3"/>
  <c r="C46" i="3"/>
  <c r="C66" i="3"/>
  <c r="C14" i="3"/>
  <c r="C27" i="3"/>
  <c r="C47" i="3"/>
  <c r="C67" i="3"/>
  <c r="C62" i="3"/>
  <c r="C48" i="3"/>
  <c r="C68" i="3"/>
  <c r="C39" i="3"/>
  <c r="C42" i="3"/>
  <c r="C24" i="3"/>
  <c r="C13" i="3"/>
  <c r="C28" i="3"/>
  <c r="C49" i="3"/>
  <c r="C69" i="3"/>
  <c r="C58" i="3"/>
  <c r="C22" i="3"/>
  <c r="C41" i="3"/>
  <c r="C43" i="3"/>
  <c r="C64" i="3"/>
  <c r="C65" i="3"/>
  <c r="C16" i="3"/>
  <c r="C29" i="3"/>
  <c r="C30" i="3"/>
  <c r="C50" i="3"/>
  <c r="C70" i="3"/>
  <c r="C38" i="3"/>
  <c r="C59" i="3"/>
  <c r="C60" i="3"/>
  <c r="C23" i="3"/>
  <c r="C63" i="3"/>
  <c r="C25" i="3"/>
  <c r="C31" i="3"/>
  <c r="C51" i="3"/>
  <c r="C71" i="3"/>
  <c r="C15" i="3"/>
  <c r="C17" i="3"/>
</calcChain>
</file>

<file path=xl/sharedStrings.xml><?xml version="1.0" encoding="utf-8"?>
<sst xmlns="http://schemas.openxmlformats.org/spreadsheetml/2006/main" count="2021" uniqueCount="1699">
  <si>
    <t>Physics History Experiments — Research Workbook</t>
  </si>
  <si>
    <t>Scope note</t>
  </si>
  <si>
    <t>This workbook is a curated, research-oriented catalogue of major experiments and observations in the history of physics. It is not a claim that there exists a universally agreed finite list of all important experiments. The catalogue emphasizes experiments that created, rejected, or decisively constrained major theoretical frameworks; enabled new measurement regimes; or opened major fields of research.</t>
  </si>
  <si>
    <t>Workbook structure</t>
  </si>
  <si>
    <t>Experiments</t>
  </si>
  <si>
    <t>Main catalogue; one row per experiment/observational milestone with source URL.</t>
  </si>
  <si>
    <t>Summary</t>
  </si>
  <si>
    <t>Counts by branch, tier, and period for orientation.</t>
  </si>
  <si>
    <t>Bibliography</t>
  </si>
  <si>
    <t>General reference starting points and source-selection guidance.</t>
  </si>
  <si>
    <t>Glossary</t>
  </si>
  <si>
    <t>Field values and tier definitions used in the workbook.</t>
  </si>
  <si>
    <t>Importance tier 1</t>
  </si>
  <si>
    <t>Canonical field-shaping experiment/observation.</t>
  </si>
  <si>
    <t>Importance tier 2</t>
  </si>
  <si>
    <t>Very important but more specialized, programmatic, or partly derivative.</t>
  </si>
  <si>
    <t>Importance tier 3</t>
  </si>
  <si>
    <t>Contextual/theoretical/instrumental milestone included for completeness.</t>
  </si>
  <si>
    <t>Recommended scholarly workflow</t>
  </si>
  <si>
    <t>Use this sheet as a structured starting corpus. For publication-grade historical work, verify each row against original papers, laboratory notebooks where available, Nobel lectures, institutional archives, and modern historiography. The Source URL column prioritizes stable overview pages and institutional reference points rather than attempting to replace primary-source bibliography.</t>
  </si>
  <si>
    <t>ID</t>
  </si>
  <si>
    <t>Year / period</t>
  </si>
  <si>
    <t>Experiment or observation</t>
  </si>
  <si>
    <t>Lead experimenter(s)</t>
  </si>
  <si>
    <t>Location / institution</t>
  </si>
  <si>
    <t>Physics branch</t>
  </si>
  <si>
    <t>Subfield</t>
  </si>
  <si>
    <t>Apparatus / method</t>
  </si>
  <si>
    <t>Measured / observed quantity</t>
  </si>
  <si>
    <t>Key finding</t>
  </si>
  <si>
    <t>Theory / concept tested or established</t>
  </si>
  <si>
    <t>Historical significance</t>
  </si>
  <si>
    <t>Source kind</t>
  </si>
  <si>
    <t>Source URL</t>
  </si>
  <si>
    <t>Importance tier</t>
  </si>
  <si>
    <t>Notes / caveats</t>
  </si>
  <si>
    <t>E001</t>
  </si>
  <si>
    <t>c. 240 BCE</t>
  </si>
  <si>
    <t>Eratosthenes' measurement of Earth circumference</t>
  </si>
  <si>
    <t>Eratosthenes</t>
  </si>
  <si>
    <t>Alexandria and Syene</t>
  </si>
  <si>
    <t>Astronomy / geophysics</t>
  </si>
  <si>
    <t>geodesy</t>
  </si>
  <si>
    <t>Solar shadow angles at two latitudes</t>
  </si>
  <si>
    <t>Solar zenith angle; baseline distance</t>
  </si>
  <si>
    <t>Estimated Earth's circumference from angular geometry</t>
  </si>
  <si>
    <t>Spherical Earth; quantitative astronomy</t>
  </si>
  <si>
    <t>Foundational quantitative geophysical measurement</t>
  </si>
  <si>
    <t>Encyclopedic overview</t>
  </si>
  <si>
    <t>https://en.wikipedia.org/wiki/Eratosthenes#Measurement_of_Earth%27s_circumference</t>
  </si>
  <si>
    <t>Astronomical observation rather than controlled laboratory experiment</t>
  </si>
  <si>
    <t>E002</t>
  </si>
  <si>
    <t>c. 250 BCE</t>
  </si>
  <si>
    <t>Archimedes' buoyancy investigations</t>
  </si>
  <si>
    <t>Archimedes</t>
  </si>
  <si>
    <t>Syracuse</t>
  </si>
  <si>
    <t>Fluid mechanics</t>
  </si>
  <si>
    <t>hydrostatics</t>
  </si>
  <si>
    <t>Immersion and displacement reasoning</t>
  </si>
  <si>
    <t>Displaced volume; apparent weight</t>
  </si>
  <si>
    <t>Principle of buoyancy and specific gravity reasoning</t>
  </si>
  <si>
    <t>Hydrostatic equilibrium</t>
  </si>
  <si>
    <t>Foundational to hydrostatics and density measurement</t>
  </si>
  <si>
    <t>https://en.wikipedia.org/wiki/Archimedes%27_principle</t>
  </si>
  <si>
    <t>Crown story is partly legendary; principle is robust</t>
  </si>
  <si>
    <t>E003</t>
  </si>
  <si>
    <t>c. 1021</t>
  </si>
  <si>
    <t>Ibn al-Haytham's camera obscura / optics experiments</t>
  </si>
  <si>
    <t>Ibn al-Haytham</t>
  </si>
  <si>
    <t>Basra / Cairo intellectual tradition</t>
  </si>
  <si>
    <t>Optics</t>
  </si>
  <si>
    <t>geometrical optics</t>
  </si>
  <si>
    <t>Dark chamber, apertures, controlled light paths</t>
  </si>
  <si>
    <t>Image formation; rectilinear propagation</t>
  </si>
  <si>
    <t>Light travels in straight lines; vision involves light entering the eye</t>
  </si>
  <si>
    <t>Experimental optics and visual perception</t>
  </si>
  <si>
    <t>Major early example of controlled optical experimentation</t>
  </si>
  <si>
    <t>https://en.wikipedia.org/wiki/Book_of_Optics</t>
  </si>
  <si>
    <t>Dates approximate</t>
  </si>
  <si>
    <t>E004</t>
  </si>
  <si>
    <t>1586</t>
  </si>
  <si>
    <t>Stevin's inclined-plane / hydrostatic demonstrations</t>
  </si>
  <si>
    <t>Simon Stevin</t>
  </si>
  <si>
    <t>Low Countries</t>
  </si>
  <si>
    <t>Classical mechanics</t>
  </si>
  <si>
    <t>statics</t>
  </si>
  <si>
    <t>Chain on triangular inclined plane; hydrostatic paradox demonstrations</t>
  </si>
  <si>
    <t>Forces on inclined planes and fluids</t>
  </si>
  <si>
    <t>Resolved statics of inclined planes; hydrostatic pressure ideas</t>
  </si>
  <si>
    <t>Statics; virtual work precursors</t>
  </si>
  <si>
    <t>Important pre-Newtonian mechanics result</t>
  </si>
  <si>
    <t>https://en.wikipedia.org/wiki/Simon_Stevin</t>
  </si>
  <si>
    <t>Multiple demonstrations rather than one single experiment</t>
  </si>
  <si>
    <t>E005</t>
  </si>
  <si>
    <t>1602-1604</t>
  </si>
  <si>
    <t>Galileo's inclined-plane acceleration experiments</t>
  </si>
  <si>
    <t>Galileo Galilei</t>
  </si>
  <si>
    <t>Padua</t>
  </si>
  <si>
    <t>kinematics</t>
  </si>
  <si>
    <t>Bronze balls on inclined planes; timing by water clock</t>
  </si>
  <si>
    <t>Distance vs. time; acceleration</t>
  </si>
  <si>
    <t>Uniform acceleration and quadratic distance-time relation</t>
  </si>
  <si>
    <t>Mathematical law of free fall</t>
  </si>
  <si>
    <t>Canonical birth of quantitative experimental mechanics</t>
  </si>
  <si>
    <t>Scholarly overview</t>
  </si>
  <si>
    <t>https://en.wikipedia.org/wiki/Galileo%27s_inclined_plane_experiment</t>
  </si>
  <si>
    <t>Historical reconstruction debated in detail</t>
  </si>
  <si>
    <t>E006</t>
  </si>
  <si>
    <t>c. 1602</t>
  </si>
  <si>
    <t>Galileo's pendulum observations</t>
  </si>
  <si>
    <t>Pisa / Padua</t>
  </si>
  <si>
    <t>oscillations</t>
  </si>
  <si>
    <t>Pendula of different amplitudes and lengths</t>
  </si>
  <si>
    <t>Period dependence</t>
  </si>
  <si>
    <t>Near-isochronism for small oscillations; period tied to length</t>
  </si>
  <si>
    <t>Periodic motion</t>
  </si>
  <si>
    <t>Important precursor to precision timekeeping and oscillator physics</t>
  </si>
  <si>
    <t>https://en.wikipedia.org/wiki/Pendulum#History</t>
  </si>
  <si>
    <t>Some details come from later accounts</t>
  </si>
  <si>
    <t>E007</t>
  </si>
  <si>
    <t>1643</t>
  </si>
  <si>
    <t>Torricelli's barometer experiment</t>
  </si>
  <si>
    <t>Evangelista Torricelli</t>
  </si>
  <si>
    <t>Florence</t>
  </si>
  <si>
    <t>Fluid mechanics / atmospheric physics</t>
  </si>
  <si>
    <t>pressure</t>
  </si>
  <si>
    <t>Mercury column sealed tube inverted in a basin</t>
  </si>
  <si>
    <t>Column height; vacuum space</t>
  </si>
  <si>
    <t>Atmospheric pressure supports mercury column; artificial vacuum exists</t>
  </si>
  <si>
    <t>Atmospheric pressure; vacuum</t>
  </si>
  <si>
    <t>Overturned horror vacui and founded barometry</t>
  </si>
  <si>
    <t>https://en.wikipedia.org/wiki/Barometer#History</t>
  </si>
  <si>
    <t>E008</t>
  </si>
  <si>
    <t>1648</t>
  </si>
  <si>
    <t>Pascal's Puy de Dôme barometric test</t>
  </si>
  <si>
    <t>Blaise Pascal; Florin Périer</t>
  </si>
  <si>
    <t>Puy de Dôme, France</t>
  </si>
  <si>
    <t>Barometer readings at different altitude</t>
  </si>
  <si>
    <t>Mercury column height vs altitude</t>
  </si>
  <si>
    <t>Atmospheric pressure decreases with altitude</t>
  </si>
  <si>
    <t>Atmospheric pressure as weight of air</t>
  </si>
  <si>
    <t>Strong early field test of atmospheric pressure theory</t>
  </si>
  <si>
    <t>https://en.wikipedia.org/wiki/Blaise_Pascal#Fluid_dynamics</t>
  </si>
  <si>
    <t>E009</t>
  </si>
  <si>
    <t>1654</t>
  </si>
  <si>
    <t>Magdeburg hemispheres vacuum demonstration</t>
  </si>
  <si>
    <t>Otto von Guericke</t>
  </si>
  <si>
    <t>Regensburg / Magdeburg</t>
  </si>
  <si>
    <t>vacuum / pressure</t>
  </si>
  <si>
    <t>Evacuated copper hemispheres pulled by horses</t>
  </si>
  <si>
    <t>Force due to external air pressure</t>
  </si>
  <si>
    <t>Atmospheric pressure can exert enormous force</t>
  </si>
  <si>
    <t>Vacuum physics; air pressure</t>
  </si>
  <si>
    <t>Iconic demonstration of vacuum and atmospheric pressure</t>
  </si>
  <si>
    <t>https://en.wikipedia.org/wiki/Magdeburg_hemispheres</t>
  </si>
  <si>
    <t>Public demonstration, not precision measurement</t>
  </si>
  <si>
    <t>E010</t>
  </si>
  <si>
    <t>1662</t>
  </si>
  <si>
    <t>Boyle's air-pump pressure-volume experiments</t>
  </si>
  <si>
    <t>Robert Boyle; Robert Hooke</t>
  </si>
  <si>
    <t>Oxford</t>
  </si>
  <si>
    <t>Thermodynamics / gases</t>
  </si>
  <si>
    <t>gas laws</t>
  </si>
  <si>
    <t>Air pump and J-shaped glass tubes</t>
  </si>
  <si>
    <t>Pressure and volume of air</t>
  </si>
  <si>
    <t>Pressure inversely proportional to volume at constant temperature</t>
  </si>
  <si>
    <t>Boyle's law</t>
  </si>
  <si>
    <t>Foundation of quantitative gas laws</t>
  </si>
  <si>
    <t>Primary / historical overview</t>
  </si>
  <si>
    <t>https://en.wikipedia.org/wiki/Boyle%27s_law</t>
  </si>
  <si>
    <t>Often cited as 1662 publication of Boyle's law</t>
  </si>
  <si>
    <t>E011</t>
  </si>
  <si>
    <t>1666</t>
  </si>
  <si>
    <t>Newton's prism decomposition of white light</t>
  </si>
  <si>
    <t>Isaac Newton</t>
  </si>
  <si>
    <t>Cambridge</t>
  </si>
  <si>
    <t>dispersion</t>
  </si>
  <si>
    <t>Prisms, apertures, darkened room</t>
  </si>
  <si>
    <t>Angular separation of colors</t>
  </si>
  <si>
    <t>White light is composite; colors have different refrangibility</t>
  </si>
  <si>
    <t>Dispersion; color theory</t>
  </si>
  <si>
    <t>Foundational experiment in physical optics</t>
  </si>
  <si>
    <t>https://en.wikipedia.org/wiki/Newton%27s_prism_experiment</t>
  </si>
  <si>
    <t>E012</t>
  </si>
  <si>
    <t>1672</t>
  </si>
  <si>
    <t>Newton's rings interference observation</t>
  </si>
  <si>
    <t>interference</t>
  </si>
  <si>
    <t>Plano-convex lens on flat glass</t>
  </si>
  <si>
    <t>Concentric colored fringes</t>
  </si>
  <si>
    <t>Thin-film interference pattern observed</t>
  </si>
  <si>
    <t>Wave optics phenomenon, despite Newton's corpuscular interpretation</t>
  </si>
  <si>
    <t>Important evidence later reinterpreted by wave theory</t>
  </si>
  <si>
    <t>https://en.wikipedia.org/wiki/Newton%27s_rings</t>
  </si>
  <si>
    <t>E013</t>
  </si>
  <si>
    <t>1676</t>
  </si>
  <si>
    <t>Rømer's astronomical estimate of light speed</t>
  </si>
  <si>
    <t>Ole Rømer</t>
  </si>
  <si>
    <t>Paris Observatory</t>
  </si>
  <si>
    <t>Optics / astronomy</t>
  </si>
  <si>
    <t>speed of light</t>
  </si>
  <si>
    <t>Timing eclipses of Jupiter's moon Io</t>
  </si>
  <si>
    <t>Delay in eclipse timings</t>
  </si>
  <si>
    <t>Light has finite propagation speed</t>
  </si>
  <si>
    <t>Finite speed of light</t>
  </si>
  <si>
    <t>First successful quantitative evidence for finite light speed</t>
  </si>
  <si>
    <t>https://en.wikipedia.org/wiki/R%C3%B8mer%27s_determination_of_the_speed_of_light</t>
  </si>
  <si>
    <t>Astronomical observation</t>
  </si>
  <si>
    <t>E014</t>
  </si>
  <si>
    <t>1728</t>
  </si>
  <si>
    <t>Bradley's stellar aberration measurement</t>
  </si>
  <si>
    <t>James Bradley</t>
  </si>
  <si>
    <t>England</t>
  </si>
  <si>
    <t>Astronomy / relativity precursor</t>
  </si>
  <si>
    <t>stellar aberration</t>
  </si>
  <si>
    <t>Precision telescopic observations</t>
  </si>
  <si>
    <t>Annual displacement of stellar positions</t>
  </si>
  <si>
    <t>Stellar aberration caused by Earth's orbital velocity and finite light speed</t>
  </si>
  <si>
    <t>Light propagation; heliocentrism</t>
  </si>
  <si>
    <t>Important confirmation of Earth's motion and finite light speed</t>
  </si>
  <si>
    <t>https://en.wikipedia.org/wiki/Aberration_(astronomy)</t>
  </si>
  <si>
    <t>E015</t>
  </si>
  <si>
    <t>1738</t>
  </si>
  <si>
    <t>Bernoulli kinetic theory arguments from gas behavior</t>
  </si>
  <si>
    <t>Daniel Bernoulli</t>
  </si>
  <si>
    <t>Basel / St. Petersburg tradition</t>
  </si>
  <si>
    <t>Thermodynamics</t>
  </si>
  <si>
    <t>kinetic theory</t>
  </si>
  <si>
    <t>Theoretical analysis informed by gas-pressure observations</t>
  </si>
  <si>
    <t>Pressure; particle motion model</t>
  </si>
  <si>
    <t>Gas pressure interpretable via molecular motion</t>
  </si>
  <si>
    <t>Kinetic theory of gases</t>
  </si>
  <si>
    <t>Conceptual precursor rather than a single experiment</t>
  </si>
  <si>
    <t>https://en.wikipedia.org/wiki/Kinetic_theory_of_gases#History</t>
  </si>
  <si>
    <t>Included for context; not a discrete experiment</t>
  </si>
  <si>
    <t>E016</t>
  </si>
  <si>
    <t>1752</t>
  </si>
  <si>
    <t>Franklin's kite experiment and lightning electricity</t>
  </si>
  <si>
    <t>Benjamin Franklin</t>
  </si>
  <si>
    <t>Philadelphia</t>
  </si>
  <si>
    <t>Electromagnetism</t>
  </si>
  <si>
    <t>electrostatics</t>
  </si>
  <si>
    <t>Kite, wet string, key, Leyden jar</t>
  </si>
  <si>
    <t>Charge transfer from storm cloud</t>
  </si>
  <si>
    <t>Lightning is electrical</t>
  </si>
  <si>
    <t>Atmospheric electricity</t>
  </si>
  <si>
    <t>Iconic demonstration linking lightning and electricity</t>
  </si>
  <si>
    <t>https://en.wikipedia.org/wiki/Kite_experiment</t>
  </si>
  <si>
    <t>Historicity and risk details are debated</t>
  </si>
  <si>
    <t>E017</t>
  </si>
  <si>
    <t>1785</t>
  </si>
  <si>
    <t>Coulomb torsion-balance experiments</t>
  </si>
  <si>
    <t>Charles-Augustin de Coulomb</t>
  </si>
  <si>
    <t>Paris</t>
  </si>
  <si>
    <t>electrostatics / magnetostatics</t>
  </si>
  <si>
    <t>Torsion balance</t>
  </si>
  <si>
    <t>Force vs charge/distance</t>
  </si>
  <si>
    <t>Inverse-square electrostatic force law</t>
  </si>
  <si>
    <t>Coulomb's law</t>
  </si>
  <si>
    <t>Quantified electrostatic interaction</t>
  </si>
  <si>
    <t>https://en.wikipedia.org/wiki/Coulomb%27s_law</t>
  </si>
  <si>
    <t>E018</t>
  </si>
  <si>
    <t>1787</t>
  </si>
  <si>
    <t>Chladni figures</t>
  </si>
  <si>
    <t>Ernst Chladni</t>
  </si>
  <si>
    <t>Germany</t>
  </si>
  <si>
    <t>Acoustics / waves</t>
  </si>
  <si>
    <t>vibrations</t>
  </si>
  <si>
    <t>Sand on vibrating plates</t>
  </si>
  <si>
    <t>Nodal-line patterns</t>
  </si>
  <si>
    <t>Vibrating plates form characteristic mode patterns</t>
  </si>
  <si>
    <t>Normal modes; wave interference</t>
  </si>
  <si>
    <t>Founded experimental study of acoustical modes</t>
  </si>
  <si>
    <t>https://en.wikipedia.org/wiki/Chladni_figures</t>
  </si>
  <si>
    <t>E019</t>
  </si>
  <si>
    <t>1798</t>
  </si>
  <si>
    <t>Cavendish torsion-balance measurement of gravitational attraction</t>
  </si>
  <si>
    <t>Henry Cavendish</t>
  </si>
  <si>
    <t>Clapham, London</t>
  </si>
  <si>
    <t>Gravitation</t>
  </si>
  <si>
    <t>precision measurement</t>
  </si>
  <si>
    <t>Torsion balance with lead spheres</t>
  </si>
  <si>
    <t>Tiny gravitational torque; Earth density</t>
  </si>
  <si>
    <t>Measured Newtonian gravitational attraction in laboratory; inferred Earth density</t>
  </si>
  <si>
    <t>Newtonian gravitation; gravitational constant precursor</t>
  </si>
  <si>
    <t>Canonical precision test of universal gravitation</t>
  </si>
  <si>
    <t>https://en.wikipedia.org/wiki/Cavendish_experiment</t>
  </si>
  <si>
    <t>Cavendish reported Earth density; G later derived</t>
  </si>
  <si>
    <t>E020</t>
  </si>
  <si>
    <t>Rumford cannon-boring heat experiment</t>
  </si>
  <si>
    <t>Benjamin Thompson, Count Rumford</t>
  </si>
  <si>
    <t>Munich</t>
  </si>
  <si>
    <t>heat theory</t>
  </si>
  <si>
    <t>Cannon boring with dull drill; water heating</t>
  </si>
  <si>
    <t>Heat produced by mechanical work</t>
  </si>
  <si>
    <t>Heat is associated with motion/work, challenging caloric theory</t>
  </si>
  <si>
    <t>Mechanical equivalent of heat precursor</t>
  </si>
  <si>
    <t>Key step toward energy conservation and thermodynamics</t>
  </si>
  <si>
    <t>https://en.wikipedia.org/wiki/Benjamin_Thompson#Experiments_with_heat</t>
  </si>
  <si>
    <t>E021</t>
  </si>
  <si>
    <t>1801</t>
  </si>
  <si>
    <t>Young's double-slit interference experiment</t>
  </si>
  <si>
    <t>Thomas Young</t>
  </si>
  <si>
    <t>Royal Institution / London</t>
  </si>
  <si>
    <t>Two slits / apertures illuminated by light</t>
  </si>
  <si>
    <t>Fringe pattern</t>
  </si>
  <si>
    <t>Light exhibits interference consistent with waves</t>
  </si>
  <si>
    <t>Wave theory of light</t>
  </si>
  <si>
    <t>Canonical demonstration of wave nature of light</t>
  </si>
  <si>
    <t>https://en.wikipedia.org/wiki/Double-slit_experiment</t>
  </si>
  <si>
    <t>E022</t>
  </si>
  <si>
    <t>1808</t>
  </si>
  <si>
    <t>Malus polarization by reflection</t>
  </si>
  <si>
    <t>Étienne-Louis Malus</t>
  </si>
  <si>
    <t>polarization</t>
  </si>
  <si>
    <t>Calcite and reflected light observations</t>
  </si>
  <si>
    <t>Intensity vs orientation</t>
  </si>
  <si>
    <t>Reflected light can be polarized</t>
  </si>
  <si>
    <t>Polarization of light</t>
  </si>
  <si>
    <t>Opened systematic study of polarization</t>
  </si>
  <si>
    <t>https://en.wikipedia.org/wiki/Polarization_(waves)#History</t>
  </si>
  <si>
    <t>E023</t>
  </si>
  <si>
    <t>1815-1819</t>
  </si>
  <si>
    <t>Fresnel-Arago interference and polarization experiments</t>
  </si>
  <si>
    <t>Augustin-Jean Fresnel; François Arago</t>
  </si>
  <si>
    <t>wave optics</t>
  </si>
  <si>
    <t>Interference setups, diffraction apertures, polarized beams</t>
  </si>
  <si>
    <t>Diffraction fringes; polarization behavior</t>
  </si>
  <si>
    <t>Explained diffraction/interference and transverse nature of light waves</t>
  </si>
  <si>
    <t>Fresnel wave theory</t>
  </si>
  <si>
    <t>Established wave optics against corpuscular theory</t>
  </si>
  <si>
    <t>https://en.wikipedia.org/wiki/Augustin-Jean_Fresnel</t>
  </si>
  <si>
    <t>Covers a program of experiments</t>
  </si>
  <si>
    <t>E024</t>
  </si>
  <si>
    <t>1820</t>
  </si>
  <si>
    <t>Ørsted compass-needle deflection by current</t>
  </si>
  <si>
    <t>Hans Christian Ørsted</t>
  </si>
  <si>
    <t>Copenhagen</t>
  </si>
  <si>
    <t>electromagnetism</t>
  </si>
  <si>
    <t>Wire carrying current near compass needle</t>
  </si>
  <si>
    <t>Magnetic needle deflection</t>
  </si>
  <si>
    <t>Electric current produces magnetic effect</t>
  </si>
  <si>
    <t>Link between electricity and magnetism</t>
  </si>
  <si>
    <t>Launched electromagnetism</t>
  </si>
  <si>
    <t>https://en.wikipedia.org/wiki/%C3%98rsted%27s_law</t>
  </si>
  <si>
    <t>E025</t>
  </si>
  <si>
    <t>1820-1825</t>
  </si>
  <si>
    <t>Ampère force experiments between currents</t>
  </si>
  <si>
    <t>André-Marie Ampère</t>
  </si>
  <si>
    <t>electrodynamics</t>
  </si>
  <si>
    <t>Current-carrying wires and balances</t>
  </si>
  <si>
    <t>Forces between currents</t>
  </si>
  <si>
    <t>Parallel currents attract/repel depending on direction</t>
  </si>
  <si>
    <t>Electrodynamic force law</t>
  </si>
  <si>
    <t>Foundation of mathematical electrodynamics</t>
  </si>
  <si>
    <t>https://en.wikipedia.org/wiki/Amp%C3%A8re%27s_force_law</t>
  </si>
  <si>
    <t>E026</t>
  </si>
  <si>
    <t>1821</t>
  </si>
  <si>
    <t>Seebeck thermoelectric effect</t>
  </si>
  <si>
    <t>Thomas Johann Seebeck</t>
  </si>
  <si>
    <t>Berlin</t>
  </si>
  <si>
    <t>Condensed matter / electromagnetism</t>
  </si>
  <si>
    <t>thermoelectricity</t>
  </si>
  <si>
    <t>Two dissimilar metals with temperature gradient</t>
  </si>
  <si>
    <t>Compass deflection / thermoelectric current</t>
  </si>
  <si>
    <t>Temperature gradients generate electric current in circuits</t>
  </si>
  <si>
    <t>Thermoelectric effect</t>
  </si>
  <si>
    <t>Foundation of thermoelectricity and sensors</t>
  </si>
  <si>
    <t>https://en.wikipedia.org/wiki/Thermoelectric_effect#Seebeck_effect</t>
  </si>
  <si>
    <t>E027</t>
  </si>
  <si>
    <t>1827</t>
  </si>
  <si>
    <t>Brownian motion observation</t>
  </si>
  <si>
    <t>Robert Brown</t>
  </si>
  <si>
    <t>London</t>
  </si>
  <si>
    <t>Statistical physics</t>
  </si>
  <si>
    <t>stochastic motion</t>
  </si>
  <si>
    <t>Microscope observations of pollen particles in water</t>
  </si>
  <si>
    <t>Irregular particle motion</t>
  </si>
  <si>
    <t>Suspended particles undergo random motion</t>
  </si>
  <si>
    <t>Thermal fluctuations; atomic theory later</t>
  </si>
  <si>
    <t>Key empirical input for statistical mechanics</t>
  </si>
  <si>
    <t>https://en.wikipedia.org/wiki/Brownian_motion</t>
  </si>
  <si>
    <t>Einstein and Perrin later provided decisive interpretation</t>
  </si>
  <si>
    <t>E028</t>
  </si>
  <si>
    <t>1831</t>
  </si>
  <si>
    <t>Faraday electromagnetic induction experiments</t>
  </si>
  <si>
    <t>Michael Faraday</t>
  </si>
  <si>
    <t>Royal Institution, London</t>
  </si>
  <si>
    <t>induction</t>
  </si>
  <si>
    <t>Iron ring, coils, galvanometer; moving magnets</t>
  </si>
  <si>
    <t>Induced current / EMF</t>
  </si>
  <si>
    <t>Changing magnetic flux induces current</t>
  </si>
  <si>
    <t>Faraday's law; electromagnetic induction</t>
  </si>
  <si>
    <t>Basis of generators, transformers, field theory</t>
  </si>
  <si>
    <t>https://en.wikipedia.org/wiki/Faraday%27s_law_of_induction</t>
  </si>
  <si>
    <t>E029</t>
  </si>
  <si>
    <t>1833-1834</t>
  </si>
  <si>
    <t>Faraday electrolysis laws</t>
  </si>
  <si>
    <t>Electromagnetism / chemistry physics</t>
  </si>
  <si>
    <t>electrochemistry</t>
  </si>
  <si>
    <t>Electrolytic cells and weighed deposits</t>
  </si>
  <si>
    <t>Mass deposited vs charge</t>
  </si>
  <si>
    <t>Chemical change proportional to electric charge</t>
  </si>
  <si>
    <t>Quantization of charge precursor; electrochemistry</t>
  </si>
  <si>
    <t>Linked electricity with matter quantitatively</t>
  </si>
  <si>
    <t>https://en.wikipedia.org/wiki/Faraday%27s_laws_of_electrolysis</t>
  </si>
  <si>
    <t>E030</t>
  </si>
  <si>
    <t>1840</t>
  </si>
  <si>
    <t>Joule's law of heating</t>
  </si>
  <si>
    <t>James Prescott Joule</t>
  </si>
  <si>
    <t>Manchester</t>
  </si>
  <si>
    <t>Thermodynamics / electromagnetism</t>
  </si>
  <si>
    <t>energy conversion</t>
  </si>
  <si>
    <t>Current through conductors; calorimetry</t>
  </si>
  <si>
    <t>Heat vs current, resistance, time</t>
  </si>
  <si>
    <t>Heat generated is proportional to I²Rt</t>
  </si>
  <si>
    <t>Energy dissipation in circuits</t>
  </si>
  <si>
    <t>Foundation of electrical heating and energy conservation</t>
  </si>
  <si>
    <t>https://en.wikipedia.org/wiki/Joule_heating</t>
  </si>
  <si>
    <t>E031</t>
  </si>
  <si>
    <t>1845</t>
  </si>
  <si>
    <t>Faraday effect: magnetic rotation of polarization</t>
  </si>
  <si>
    <t>Optics / electromagnetism</t>
  </si>
  <si>
    <t>magneto-optics</t>
  </si>
  <si>
    <t>Polarized light through material in magnetic field</t>
  </si>
  <si>
    <t>Rotation angle of polarization</t>
  </si>
  <si>
    <t>Magnetic field affects light propagation in matter</t>
  </si>
  <si>
    <t>Electromagnetic nature of light precursor</t>
  </si>
  <si>
    <t>First direct link between magnetism and light</t>
  </si>
  <si>
    <t>https://en.wikipedia.org/wiki/Faraday_effect</t>
  </si>
  <si>
    <t>E032</t>
  </si>
  <si>
    <t>1847-1849</t>
  </si>
  <si>
    <t>Joule paddle-wheel mechanical equivalent of heat</t>
  </si>
  <si>
    <t>energy conservation</t>
  </si>
  <si>
    <t>Falling weights drive paddles in water</t>
  </si>
  <si>
    <t>Temperature rise per mechanical work</t>
  </si>
  <si>
    <t>Mechanical work converts to heat with fixed equivalent</t>
  </si>
  <si>
    <t>First law of thermodynamics</t>
  </si>
  <si>
    <t>Landmark in conservation of energy</t>
  </si>
  <si>
    <t>https://en.wikipedia.org/wiki/Mechanical_equivalent_of_heat</t>
  </si>
  <si>
    <t>E033</t>
  </si>
  <si>
    <t>1849</t>
  </si>
  <si>
    <t>Fizeau toothed-wheel speed of light measurement</t>
  </si>
  <si>
    <t>Hippolyte Fizeau</t>
  </si>
  <si>
    <t>Paris area</t>
  </si>
  <si>
    <t>T غoothed wheel and distant mirror</t>
  </si>
  <si>
    <t>Time of flight inferred from wheel speed</t>
  </si>
  <si>
    <t>Terrestrial measurement of light speed</t>
  </si>
  <si>
    <t>Finite light speed</t>
  </si>
  <si>
    <t>First successful terrestrial speed-of-light measurement</t>
  </si>
  <si>
    <t>https://en.wikipedia.org/wiki/Fizeau%E2%80%93Foucault_apparatus</t>
  </si>
  <si>
    <t>E034</t>
  </si>
  <si>
    <t>1851</t>
  </si>
  <si>
    <t>Foucault pendulum</t>
  </si>
  <si>
    <t>Léon Foucault</t>
  </si>
  <si>
    <t>Paris Panthéon</t>
  </si>
  <si>
    <t>Classical mechanics / geophysics</t>
  </si>
  <si>
    <t>rotation</t>
  </si>
  <si>
    <t>Long pendulum</t>
  </si>
  <si>
    <t>Precession of oscillation plane</t>
  </si>
  <si>
    <t>Earth's rotation directly demonstrated</t>
  </si>
  <si>
    <t>Rotating reference frames</t>
  </si>
  <si>
    <t>Iconic demonstration of Earth's rotation</t>
  </si>
  <si>
    <t>https://en.wikipedia.org/wiki/Foucault_pendulum</t>
  </si>
  <si>
    <t>E035</t>
  </si>
  <si>
    <t>Fizeau experiment on light in moving water</t>
  </si>
  <si>
    <t>Optics / relativity precursor</t>
  </si>
  <si>
    <t>light propagation in media</t>
  </si>
  <si>
    <t>Interferometer with moving water tubes</t>
  </si>
  <si>
    <t>Fringe shift</t>
  </si>
  <si>
    <t>Partial dragging of light by moving medium</t>
  </si>
  <si>
    <t>Fresnel drag coefficient; relativity precursor</t>
  </si>
  <si>
    <t>Important input for electrodynamics of moving bodies</t>
  </si>
  <si>
    <t>https://en.wikipedia.org/wiki/Fizeau_experiment</t>
  </si>
  <si>
    <t>E036</t>
  </si>
  <si>
    <t>1859-1860</t>
  </si>
  <si>
    <t>Kirchhoff-Bunsen spectroscopy experiments</t>
  </si>
  <si>
    <t>Gustav Kirchhoff; Robert Bunsen</t>
  </si>
  <si>
    <t>Heidelberg</t>
  </si>
  <si>
    <t>Optics / atomic physics</t>
  </si>
  <si>
    <t>spectroscopy</t>
  </si>
  <si>
    <t>Prism spectroscope and flame spectra</t>
  </si>
  <si>
    <t>Emission/absorption spectral lines</t>
  </si>
  <si>
    <t>Elements have characteristic spectra; solar lines explained</t>
  </si>
  <si>
    <t>Spectral analysis; atomic structure precursor</t>
  </si>
  <si>
    <t>Founded astrophysical spectroscopy and chemical spectroscopy</t>
  </si>
  <si>
    <t>https://en.wikipedia.org/wiki/Emission_spectrum#History</t>
  </si>
  <si>
    <t>E037</t>
  </si>
  <si>
    <t>1861</t>
  </si>
  <si>
    <t>Maxwell color photograph demonstration</t>
  </si>
  <si>
    <t>James Clerk Maxwell; Thomas Sutton</t>
  </si>
  <si>
    <t>color vision</t>
  </si>
  <si>
    <t>Three-color photographic separations</t>
  </si>
  <si>
    <t>Additive color reconstruction</t>
  </si>
  <si>
    <t>Color images can be reconstructed from RGB components</t>
  </si>
  <si>
    <t>Color theory; electromagnetic optics context</t>
  </si>
  <si>
    <t>Milestone in color science and imaging</t>
  </si>
  <si>
    <t>https://en.wikipedia.org/wiki/Tartan_Ribbon</t>
  </si>
  <si>
    <t>Important to optics/imaging, less central to fundamental physics</t>
  </si>
  <si>
    <t>E038</t>
  </si>
  <si>
    <t>1869</t>
  </si>
  <si>
    <t>Andrews critical point of carbon dioxide</t>
  </si>
  <si>
    <t>Thomas Andrews</t>
  </si>
  <si>
    <t>Belfast</t>
  </si>
  <si>
    <t>phase transitions</t>
  </si>
  <si>
    <t>Pressure-volume-temperature measurements of CO₂</t>
  </si>
  <si>
    <t>P-V isotherms; critical temperature</t>
  </si>
  <si>
    <t>Liquid-gas distinction disappears above critical point</t>
  </si>
  <si>
    <t>Critical phenomena; phase transitions</t>
  </si>
  <si>
    <t>Foundational for phase diagrams and critical behavior</t>
  </si>
  <si>
    <t>https://en.wikipedia.org/wiki/Critical_point_(thermodynamics)</t>
  </si>
  <si>
    <t>E039</t>
  </si>
  <si>
    <t>1879</t>
  </si>
  <si>
    <t>Crookes cathode-ray tube experiments</t>
  </si>
  <si>
    <t>William Crookes</t>
  </si>
  <si>
    <t>Atomic / plasma physics</t>
  </si>
  <si>
    <t>cathode rays</t>
  </si>
  <si>
    <t>Low-pressure discharge tubes</t>
  </si>
  <si>
    <t>Cathode-ray shadows and fluorescence</t>
  </si>
  <si>
    <t>Cathode rays travel from cathode and carry momentum-like effects</t>
  </si>
  <si>
    <t>Electron precursor; discharge physics</t>
  </si>
  <si>
    <t>Prepared path to electron discovery</t>
  </si>
  <si>
    <t>https://en.wikipedia.org/wiki/Crookes_tube</t>
  </si>
  <si>
    <t>E040</t>
  </si>
  <si>
    <t>Hall effect discovery</t>
  </si>
  <si>
    <t>Edwin Hall</t>
  </si>
  <si>
    <t>Johns Hopkins University</t>
  </si>
  <si>
    <t>transport</t>
  </si>
  <si>
    <t>Current-carrying conductor in magnetic field</t>
  </si>
  <si>
    <t>Transverse voltage</t>
  </si>
  <si>
    <t>Magnetic field produces transverse Hall voltage</t>
  </si>
  <si>
    <t>Charge-carrier sign and density</t>
  </si>
  <si>
    <t>Key probe of electronic transport</t>
  </si>
  <si>
    <t>https://en.wikipedia.org/wiki/Hall_effect</t>
  </si>
  <si>
    <t>E041</t>
  </si>
  <si>
    <t>1887</t>
  </si>
  <si>
    <t>Michelson-Morley ether-drift experiment</t>
  </si>
  <si>
    <t>Albert A. Michelson; Edward W. Morley</t>
  </si>
  <si>
    <t>Cleveland</t>
  </si>
  <si>
    <t>Optics / relativity</t>
  </si>
  <si>
    <t>interferometry</t>
  </si>
  <si>
    <t>Michelson interferometer on rotating stone slab</t>
  </si>
  <si>
    <t>Fringe shift vs orientation</t>
  </si>
  <si>
    <t>No detectable ether wind</t>
  </si>
  <si>
    <t>Aether theory; invariance of light speed</t>
  </si>
  <si>
    <t>Central empirical precursor to special relativity</t>
  </si>
  <si>
    <t>https://en.wikipedia.org/wiki/Michelson%E2%80%93Morley_experiment</t>
  </si>
  <si>
    <t>E042</t>
  </si>
  <si>
    <t>1887-1888</t>
  </si>
  <si>
    <t>Hertz electromagnetic-wave experiments</t>
  </si>
  <si>
    <t>Heinrich Hertz</t>
  </si>
  <si>
    <t>Karlsruhe</t>
  </si>
  <si>
    <t>radio waves</t>
  </si>
  <si>
    <t>Spark-gap oscillator and resonator</t>
  </si>
  <si>
    <t>Radio-wave reflection/refraction/interference</t>
  </si>
  <si>
    <t>Electromagnetic waves exist and behave like light</t>
  </si>
  <si>
    <t>Maxwell's electromagnetic theory</t>
  </si>
  <si>
    <t>Confirmed Maxwell's prediction; launched radio physics</t>
  </si>
  <si>
    <t>https://en.wikipedia.org/wiki/Heinrich_Hertz#Electromagnetic_waves</t>
  </si>
  <si>
    <t>E043</t>
  </si>
  <si>
    <t>Photoelectric effect observation</t>
  </si>
  <si>
    <t>Heinrich Hertz; later Wilhelm Hallwachs</t>
  </si>
  <si>
    <t>Quantum physics / optics</t>
  </si>
  <si>
    <t>photoemission</t>
  </si>
  <si>
    <t>UV light on electrodes / spark gaps</t>
  </si>
  <si>
    <t>Electron emission / discharge change</t>
  </si>
  <si>
    <t>Light can eject charge from metal surfaces</t>
  </si>
  <si>
    <t>Photoelectric effect</t>
  </si>
  <si>
    <t>Key empirical anomaly leading to light quanta</t>
  </si>
  <si>
    <t>https://en.wikipedia.org/wiki/Photoelectric_effect#History</t>
  </si>
  <si>
    <t>E044</t>
  </si>
  <si>
    <t>1895</t>
  </si>
  <si>
    <t>Röntgen X-ray discovery</t>
  </si>
  <si>
    <t>Wilhelm Conrad Röntgen</t>
  </si>
  <si>
    <t>University of Würzburg</t>
  </si>
  <si>
    <t>Atomic physics / radiation</t>
  </si>
  <si>
    <t>X-rays</t>
  </si>
  <si>
    <t>Cathode-ray tubes and fluorescent screens</t>
  </si>
  <si>
    <t>Penetrating radiation; photographic plates</t>
  </si>
  <si>
    <t>New penetrating radiation discovered</t>
  </si>
  <si>
    <t>X-ray radiation</t>
  </si>
  <si>
    <t>Opened X-ray physics, crystallography, and medical imaging</t>
  </si>
  <si>
    <t>Nobel / encyclopedic overview</t>
  </si>
  <si>
    <t>https://en.wikipedia.org/wiki/X-ray#Discovery</t>
  </si>
  <si>
    <t>E045</t>
  </si>
  <si>
    <t>1896</t>
  </si>
  <si>
    <t>Becquerel radioactivity discovery</t>
  </si>
  <si>
    <t>Henri Becquerel</t>
  </si>
  <si>
    <t>Nuclear physics</t>
  </si>
  <si>
    <t>radioactivity</t>
  </si>
  <si>
    <t>Uranium salts and photographic plates</t>
  </si>
  <si>
    <t>Spontaneous plate exposure</t>
  </si>
  <si>
    <t>Uranium emits penetrating radiation without sunlight</t>
  </si>
  <si>
    <t>Radioactivity</t>
  </si>
  <si>
    <t>Birth of nuclear physics</t>
  </si>
  <si>
    <t>https://en.wikipedia.org/wiki/Henri_Becquerel#Radioactivity</t>
  </si>
  <si>
    <t>E046</t>
  </si>
  <si>
    <t>1896-1897</t>
  </si>
  <si>
    <t>Zeeman effect</t>
  </si>
  <si>
    <t>Pieter Zeeman</t>
  </si>
  <si>
    <t>Leiden</t>
  </si>
  <si>
    <t>Atomic physics / spectroscopy</t>
  </si>
  <si>
    <t>magneto-spectroscopy</t>
  </si>
  <si>
    <t>Spectral lines in magnetic field</t>
  </si>
  <si>
    <t>Line splitting</t>
  </si>
  <si>
    <t>Magnetic fields split atomic spectral lines</t>
  </si>
  <si>
    <t>Electron charge-to-mass and atomic structure</t>
  </si>
  <si>
    <t>Key evidence for electron in atoms and quantum angular momentum</t>
  </si>
  <si>
    <t>https://en.wikipedia.org/wiki/Zeeman_effect</t>
  </si>
  <si>
    <t>E047</t>
  </si>
  <si>
    <t>1897</t>
  </si>
  <si>
    <t>J. J. Thomson cathode-ray e/m experiment</t>
  </si>
  <si>
    <t>J. J. Thomson</t>
  </si>
  <si>
    <t>Cavendish Laboratory, Cambridge</t>
  </si>
  <si>
    <t>Atomic physics</t>
  </si>
  <si>
    <t>electron discovery</t>
  </si>
  <si>
    <t>Cathode-ray tube with electric and magnetic deflection</t>
  </si>
  <si>
    <t>Charge-to-mass ratio</t>
  </si>
  <si>
    <t>Cathode rays are universal negatively charged particles</t>
  </si>
  <si>
    <t>Electron existence</t>
  </si>
  <si>
    <t>Discovery of the electron</t>
  </si>
  <si>
    <t>https://en.wikipedia.org/wiki/Electron#Discovery</t>
  </si>
  <si>
    <t>E048</t>
  </si>
  <si>
    <t>1898-1902</t>
  </si>
  <si>
    <t>Curie radioactivity and radium isolation experiments</t>
  </si>
  <si>
    <t>Marie Curie; Pierre Curie</t>
  </si>
  <si>
    <t>Pitchblende processing, electrometer measurements</t>
  </si>
  <si>
    <t>Ionization activity</t>
  </si>
  <si>
    <t>Polonium and radium identified; radioactivity as atomic property</t>
  </si>
  <si>
    <t>Radioactive decay; nuclear processes</t>
  </si>
  <si>
    <t>Central to nuclear physics and radiochemistry</t>
  </si>
  <si>
    <t>https://en.wikipedia.org/wiki/Marie_Curie#New_elements</t>
  </si>
  <si>
    <t>E049</t>
  </si>
  <si>
    <t>1900</t>
  </si>
  <si>
    <t>Blackbody radiation precision measurements</t>
  </si>
  <si>
    <t>Otto Lummer; Ernst Pringsheim; Heinrich Rubens; Ferdinand Kurlbaum</t>
  </si>
  <si>
    <t>Physikalisch-Technische Reichsanstalt, Berlin</t>
  </si>
  <si>
    <t>Quantum physics / thermodynamics</t>
  </si>
  <si>
    <t>blackbody radiation</t>
  </si>
  <si>
    <t>Cavity radiators and bolometers</t>
  </si>
  <si>
    <t>Spectral radiance vs wavelength/temperature</t>
  </si>
  <si>
    <t>Empirical spectrum incompatible with classical laws over full range</t>
  </si>
  <si>
    <t>Planck radiation law context</t>
  </si>
  <si>
    <t>Experimental basis of quantum theory</t>
  </si>
  <si>
    <t>https://en.wikipedia.org/wiki/Black-body_radiation#History</t>
  </si>
  <si>
    <t>E050</t>
  </si>
  <si>
    <t>1905-1908</t>
  </si>
  <si>
    <t>Perrin's Brownian-motion tests of atomic theory</t>
  </si>
  <si>
    <t>Jean Perrin</t>
  </si>
  <si>
    <t>atomic theory</t>
  </si>
  <si>
    <t>Microscopy of colloids at sedimentation equilibrium</t>
  </si>
  <si>
    <t>Avogadro constant estimates</t>
  </si>
  <si>
    <t>Brownian motion quantitatively confirmed molecular reality</t>
  </si>
  <si>
    <t>Einstein-Smoluchowski Brownian motion theory</t>
  </si>
  <si>
    <t>Decisive evidence for atoms and statistical mechanics</t>
  </si>
  <si>
    <t>https://en.wikipedia.org/wiki/Jean_Baptiste_Perrin#Research</t>
  </si>
  <si>
    <t>E051</t>
  </si>
  <si>
    <t>1909-1913</t>
  </si>
  <si>
    <t>Millikan oil-drop experiment</t>
  </si>
  <si>
    <t>Robert A. Millikan; Harvey Fletcher</t>
  </si>
  <si>
    <t>University of Chicago</t>
  </si>
  <si>
    <t>charge quantization</t>
  </si>
  <si>
    <t>Charged oil droplets between capacitor plates</t>
  </si>
  <si>
    <t>Elementary charge</t>
  </si>
  <si>
    <t>Electric charge occurs in discrete units</t>
  </si>
  <si>
    <t>Quantization of electric charge</t>
  </si>
  <si>
    <t>Precision measurement of elementary charge</t>
  </si>
  <si>
    <t>https://en.wikipedia.org/wiki/Oil_drop_experiment</t>
  </si>
  <si>
    <t>E052</t>
  </si>
  <si>
    <t>1909-1911</t>
  </si>
  <si>
    <t>Geiger-Marsden gold-foil scattering experiment</t>
  </si>
  <si>
    <t>Hans Geiger; Ernest Marsden; Ernest Rutherford</t>
  </si>
  <si>
    <t>University of Manchester</t>
  </si>
  <si>
    <t>Nuclear / atomic physics</t>
  </si>
  <si>
    <t>atomic structure</t>
  </si>
  <si>
    <t>Alpha particles scattered by thin gold foil</t>
  </si>
  <si>
    <t>Large-angle scattering events</t>
  </si>
  <si>
    <t>Atom has a small, dense, positively charged nucleus</t>
  </si>
  <si>
    <t>Rutherford nuclear atom</t>
  </si>
  <si>
    <t>Established nuclear model of atom</t>
  </si>
  <si>
    <t>https://en.wikipedia.org/wiki/Geiger%E2%80%93Marsden_experiments</t>
  </si>
  <si>
    <t>E053</t>
  </si>
  <si>
    <t>1911</t>
  </si>
  <si>
    <t>Onnes discovery of superconductivity</t>
  </si>
  <si>
    <t>Heike Kamerlingh Onnes</t>
  </si>
  <si>
    <t>Leiden University</t>
  </si>
  <si>
    <t>Condensed matter</t>
  </si>
  <si>
    <t>superconductivity</t>
  </si>
  <si>
    <t>Mercury cooled with liquid helium; resistance bridge</t>
  </si>
  <si>
    <t>Electrical resistance vs temperature</t>
  </si>
  <si>
    <t>Resistance of mercury vanishes near 4 K</t>
  </si>
  <si>
    <t>Superconductivity</t>
  </si>
  <si>
    <t>Opened superconductivity research</t>
  </si>
  <si>
    <t>https://en.wikipedia.org/wiki/Superconductivity#History</t>
  </si>
  <si>
    <t>E054</t>
  </si>
  <si>
    <t>Wilson cloud chamber tracks</t>
  </si>
  <si>
    <t>C. T. R. Wilson</t>
  </si>
  <si>
    <t>Particle / atmospheric physics</t>
  </si>
  <si>
    <t>particle detection</t>
  </si>
  <si>
    <t>Supersaturated vapor chamber</t>
  </si>
  <si>
    <t>Condensation tracks of ions</t>
  </si>
  <si>
    <t>Ionizing radiation leaves visible tracks</t>
  </si>
  <si>
    <t>Particle detection</t>
  </si>
  <si>
    <t>Transformative particle detector for cosmic rays and nuclear physics</t>
  </si>
  <si>
    <t>https://en.wikipedia.org/wiki/Cloud_chamber</t>
  </si>
  <si>
    <t>E055</t>
  </si>
  <si>
    <t>1913</t>
  </si>
  <si>
    <t>Bragg X-ray crystallography experiments</t>
  </si>
  <si>
    <t>William Henry Bragg; William Lawrence Bragg</t>
  </si>
  <si>
    <t>Leeds / Cambridge</t>
  </si>
  <si>
    <t>Condensed matter / atomic physics</t>
  </si>
  <si>
    <t>crystallography</t>
  </si>
  <si>
    <t>X-ray diffraction from crystals</t>
  </si>
  <si>
    <t>Diffraction angles and intensities</t>
  </si>
  <si>
    <t>Crystal structures can be inferred from X-ray diffraction</t>
  </si>
  <si>
    <t>Bragg's law; atomic lattice structure</t>
  </si>
  <si>
    <t>Founded X-ray crystallography</t>
  </si>
  <si>
    <t>https://en.wikipedia.org/wiki/X-ray_crystallography#History</t>
  </si>
  <si>
    <t>E056</t>
  </si>
  <si>
    <t>1913-1914</t>
  </si>
  <si>
    <t>Moseley X-ray spectra experiments</t>
  </si>
  <si>
    <t>Henry Moseley</t>
  </si>
  <si>
    <t>Manchester / Oxford</t>
  </si>
  <si>
    <t>X-ray spectra of elements</t>
  </si>
  <si>
    <t>Characteristic X-ray frequencies</t>
  </si>
  <si>
    <t>Atomic number, not atomic weight, orders elements</t>
  </si>
  <si>
    <t>Nuclear charge; periodic table structure</t>
  </si>
  <si>
    <t>Established physical basis of atomic number</t>
  </si>
  <si>
    <t>https://en.wikipedia.org/wiki/Moseley%27s_law</t>
  </si>
  <si>
    <t>E057</t>
  </si>
  <si>
    <t>1914</t>
  </si>
  <si>
    <t>Franck-Hertz experiment</t>
  </si>
  <si>
    <t>James Franck; Gustav Hertz</t>
  </si>
  <si>
    <t>Quantum physics / atomic physics</t>
  </si>
  <si>
    <t>quantized energy levels</t>
  </si>
  <si>
    <t>Electron collisions with mercury vapor</t>
  </si>
  <si>
    <t>Current vs accelerating voltage</t>
  </si>
  <si>
    <t>Atoms absorb energy in discrete amounts</t>
  </si>
  <si>
    <t>Bohr energy levels</t>
  </si>
  <si>
    <t>Direct evidence for quantized atomic levels</t>
  </si>
  <si>
    <t>https://en.wikipedia.org/wiki/Franck%E2%80%93Hertz_experiment</t>
  </si>
  <si>
    <t>E058</t>
  </si>
  <si>
    <t>1915-1916</t>
  </si>
  <si>
    <t>Millikan photoelectric-effect tests</t>
  </si>
  <si>
    <t>Robert A. Millikan</t>
  </si>
  <si>
    <t>Quantum physics</t>
  </si>
  <si>
    <t>photoelectric effect</t>
  </si>
  <si>
    <t>Photocurrent vs frequency and voltage</t>
  </si>
  <si>
    <t>Stopping potential; Planck constant</t>
  </si>
  <si>
    <t>Confirmed Einstein's photoelectric equation despite initial skepticism</t>
  </si>
  <si>
    <t>Photon/light quantum</t>
  </si>
  <si>
    <t>Key quantitative support for light quanta</t>
  </si>
  <si>
    <t>https://en.wikipedia.org/wiki/Photoelectric_effect</t>
  </si>
  <si>
    <t>E059</t>
  </si>
  <si>
    <t>1919</t>
  </si>
  <si>
    <t>Eddington eclipse deflection expedition</t>
  </si>
  <si>
    <t>Arthur Eddington; Frank Dyson; Andrew Crommelin</t>
  </si>
  <si>
    <t>Principe and Sobral</t>
  </si>
  <si>
    <t>Relativity / gravitation</t>
  </si>
  <si>
    <t>gravitational lensing</t>
  </si>
  <si>
    <t>Solar-eclipse stellar photography</t>
  </si>
  <si>
    <t>Stellar position shift near Sun</t>
  </si>
  <si>
    <t>Light is deflected by solar gravity consistent with GR within uncertainties</t>
  </si>
  <si>
    <t>General relativity</t>
  </si>
  <si>
    <t>Made general relativity internationally prominent</t>
  </si>
  <si>
    <t>https://en.wikipedia.org/wiki/Eddington_experiment</t>
  </si>
  <si>
    <t>Results and uncertainty have been historically reassessed</t>
  </si>
  <si>
    <t>E060</t>
  </si>
  <si>
    <t>Rutherford artificial transmutation</t>
  </si>
  <si>
    <t>Ernest Rutherford</t>
  </si>
  <si>
    <t>nuclear reactions</t>
  </si>
  <si>
    <t>Alpha particles on nitrogen</t>
  </si>
  <si>
    <t>Hydrogen nuclei emission</t>
  </si>
  <si>
    <t>Nitrogen transmuted into oxygen; proton identified in nuclear reaction</t>
  </si>
  <si>
    <t>Nuclear reactions</t>
  </si>
  <si>
    <t>First artificial nuclear transmutation</t>
  </si>
  <si>
    <t>https://en.wikipedia.org/wiki/Ernest_Rutherford#Later_work</t>
  </si>
  <si>
    <t>E061</t>
  </si>
  <si>
    <t>1920</t>
  </si>
  <si>
    <t>Stern-Volmer molecular beam precursor experiments</t>
  </si>
  <si>
    <t>Otto Stern; Max Volmer</t>
  </si>
  <si>
    <t>Frankfurt / Hamburg tradition</t>
  </si>
  <si>
    <t>molecular beams</t>
  </si>
  <si>
    <t>Molecular beam methods</t>
  </si>
  <si>
    <t>Velocity distributions / collisions</t>
  </si>
  <si>
    <t>Developed molecular beam techniques</t>
  </si>
  <si>
    <t>Kinetic theory; atomic beams</t>
  </si>
  <si>
    <t>Important precursor to Stern-Gerlach and precision atomic physics</t>
  </si>
  <si>
    <t>https://en.wikipedia.org/wiki/Molecular_beam</t>
  </si>
  <si>
    <t>E062</t>
  </si>
  <si>
    <t>1922</t>
  </si>
  <si>
    <t>Stern-Gerlach experiment</t>
  </si>
  <si>
    <t>Otto Stern; Walther Gerlach</t>
  </si>
  <si>
    <t>Frankfurt</t>
  </si>
  <si>
    <t>spin / quantization</t>
  </si>
  <si>
    <t>Silver atom beam through inhomogeneous magnetic field</t>
  </si>
  <si>
    <t>Discrete beam splitting</t>
  </si>
  <si>
    <t>Angular momentum projection is quantized</t>
  </si>
  <si>
    <t>Space quantization; spin precursor</t>
  </si>
  <si>
    <t>Canonical quantum measurement experiment</t>
  </si>
  <si>
    <t>https://en.wikipedia.org/wiki/Stern%E2%80%93Gerlach_experiment</t>
  </si>
  <si>
    <t>E063</t>
  </si>
  <si>
    <t>1923</t>
  </si>
  <si>
    <t>Compton scattering experiment</t>
  </si>
  <si>
    <t>Arthur H. Compton</t>
  </si>
  <si>
    <t>Washington University / Chicago</t>
  </si>
  <si>
    <t>photon momentum</t>
  </si>
  <si>
    <t>X-rays scattered by electrons</t>
  </si>
  <si>
    <t>Wavelength shift vs angle</t>
  </si>
  <si>
    <t>X-rays scatter as particles with momentum</t>
  </si>
  <si>
    <t>Photon concept; wave-particle duality</t>
  </si>
  <si>
    <t>Strong evidence for photons</t>
  </si>
  <si>
    <t>https://en.wikipedia.org/wiki/Compton_scattering</t>
  </si>
  <si>
    <t>E064</t>
  </si>
  <si>
    <t>1925</t>
  </si>
  <si>
    <t>Bothe-Geiger coincidence experiment</t>
  </si>
  <si>
    <t>Walther Bothe; Hans Geiger</t>
  </si>
  <si>
    <t>Quantum physics / particle detection</t>
  </si>
  <si>
    <t>coincidence counting</t>
  </si>
  <si>
    <t>Coincidence counters for Compton scattering</t>
  </si>
  <si>
    <t>Temporal correlations</t>
  </si>
  <si>
    <t>Energy-momentum conservation holds event-by-event in radiation processes</t>
  </si>
  <si>
    <t>Quantum event individuality</t>
  </si>
  <si>
    <t>Influential in quantum foundations and nuclear instrumentation</t>
  </si>
  <si>
    <t>https://en.wikipedia.org/wiki/Walther_Bothe</t>
  </si>
  <si>
    <t>E065</t>
  </si>
  <si>
    <t>1927</t>
  </si>
  <si>
    <t>Davisson-Germer electron diffraction</t>
  </si>
  <si>
    <t>Clinton Davisson; Lester Germer</t>
  </si>
  <si>
    <t>Bell Labs</t>
  </si>
  <si>
    <t>Quantum physics / condensed matter</t>
  </si>
  <si>
    <t>matter waves</t>
  </si>
  <si>
    <t>Electrons scattered from nickel crystal</t>
  </si>
  <si>
    <t>Diffraction maxima</t>
  </si>
  <si>
    <t>Electrons exhibit wave diffraction</t>
  </si>
  <si>
    <t>de Broglie matter waves</t>
  </si>
  <si>
    <t>Direct evidence for matter waves</t>
  </si>
  <si>
    <t>https://en.wikipedia.org/wiki/Davisson%E2%80%93Germer_experiment</t>
  </si>
  <si>
    <t>E066</t>
  </si>
  <si>
    <t>1928</t>
  </si>
  <si>
    <t>Raman scattering discovery</t>
  </si>
  <si>
    <t>C. V. Raman; K. S. Krishnan</t>
  </si>
  <si>
    <t>Indian Association for the Cultivation of Science, Calcutta</t>
  </si>
  <si>
    <t>Optics / molecular physics</t>
  </si>
  <si>
    <t>inelastic light scattering</t>
  </si>
  <si>
    <t>Monochromatic light through liquids; spectrograph</t>
  </si>
  <si>
    <t>Frequency-shifted scattered light</t>
  </si>
  <si>
    <t>Light scattering can exchange energy with molecular modes</t>
  </si>
  <si>
    <t>Molecular energy levels</t>
  </si>
  <si>
    <t>Founded Raman spectroscopy</t>
  </si>
  <si>
    <t>https://en.wikipedia.org/wiki/Raman_scattering</t>
  </si>
  <si>
    <t>E067</t>
  </si>
  <si>
    <t>1931</t>
  </si>
  <si>
    <t>Lawrence cyclotron demonstration</t>
  </si>
  <si>
    <t>Ernest O. Lawrence; M. Stanley Livingston</t>
  </si>
  <si>
    <t>University of California, Berkeley</t>
  </si>
  <si>
    <t>Particle / nuclear physics</t>
  </si>
  <si>
    <t>accelerators</t>
  </si>
  <si>
    <t>Cyclotron with magnetic field and RF acceleration</t>
  </si>
  <si>
    <t>Ion energy</t>
  </si>
  <si>
    <t>Repeated acceleration in circular orbit reaches high energies</t>
  </si>
  <si>
    <t>Particle acceleration</t>
  </si>
  <si>
    <t>Start of modern accelerator physics</t>
  </si>
  <si>
    <t>https://en.wikipedia.org/wiki/Cyclotron#History</t>
  </si>
  <si>
    <t>E068</t>
  </si>
  <si>
    <t>1932</t>
  </si>
  <si>
    <t>Cockcroft-Walton lithium disintegration</t>
  </si>
  <si>
    <t>John Cockcroft; Ernest Walton</t>
  </si>
  <si>
    <t>accelerators / nuclear reactions</t>
  </si>
  <si>
    <t>High-voltage accelerator bombarding lithium with protons</t>
  </si>
  <si>
    <t>Alpha particles from lithium disintegration</t>
  </si>
  <si>
    <t>Atomic nucleus split by artificially accelerated particles</t>
  </si>
  <si>
    <t>Mass-energy relation; nuclear transmutation</t>
  </si>
  <si>
    <t>First nuclear disintegration by accelerator</t>
  </si>
  <si>
    <t>https://en.wikipedia.org/wiki/Cockcroft%E2%80%93Walton_generator</t>
  </si>
  <si>
    <t>E069</t>
  </si>
  <si>
    <t>Chadwick neutron discovery</t>
  </si>
  <si>
    <t>James Chadwick</t>
  </si>
  <si>
    <t>neutron</t>
  </si>
  <si>
    <t>Alpha particles on beryllium; paraffin recoil protons</t>
  </si>
  <si>
    <t>Penetrating neutral radiation; recoil energies</t>
  </si>
  <si>
    <t>Radiation consists of neutral particles of proton-like mass</t>
  </si>
  <si>
    <t>Neutron existence</t>
  </si>
  <si>
    <t>Opened nuclear structure and fission physics</t>
  </si>
  <si>
    <t>https://en.wikipedia.org/wiki/Neutron#Discovery</t>
  </si>
  <si>
    <t>E070</t>
  </si>
  <si>
    <t>Anderson positron discovery</t>
  </si>
  <si>
    <t>Carl D. Anderson</t>
  </si>
  <si>
    <t>Caltech</t>
  </si>
  <si>
    <t>Particle physics</t>
  </si>
  <si>
    <t>antimatter / cosmic rays</t>
  </si>
  <si>
    <t>Cloud chamber in magnetic field</t>
  </si>
  <si>
    <t>Track curvature and ionization</t>
  </si>
  <si>
    <t>Positive electron identified in cosmic rays</t>
  </si>
  <si>
    <t>Dirac antimatter prediction</t>
  </si>
  <si>
    <t>Discovery of antimatter particle</t>
  </si>
  <si>
    <t>https://en.wikipedia.org/wiki/Positron#Experimental_clues_and_discovery</t>
  </si>
  <si>
    <t>E071</t>
  </si>
  <si>
    <t>1933</t>
  </si>
  <si>
    <t>Meissner-Ochsenfeld effect</t>
  </si>
  <si>
    <t>Walther Meissner; Robert Ochsenfeld</t>
  </si>
  <si>
    <t>Magnetic field measurements around cooled superconductors</t>
  </si>
  <si>
    <t>Magnetic flux expulsion</t>
  </si>
  <si>
    <t>Superconductors expel magnetic field below transition temperature</t>
  </si>
  <si>
    <t>Perfect diamagnetism; superconducting phase</t>
  </si>
  <si>
    <t>Showed superconductivity is a thermodynamic phase, not mere zero resistance</t>
  </si>
  <si>
    <t>https://en.wikipedia.org/wiki/Meissner_effect</t>
  </si>
  <si>
    <t>E072</t>
  </si>
  <si>
    <t>1935</t>
  </si>
  <si>
    <t>Yukawa meson hypothesis prompted by nuclear-force data</t>
  </si>
  <si>
    <t>Hideki Yukawa</t>
  </si>
  <si>
    <t>Japan</t>
  </si>
  <si>
    <t>nuclear forces</t>
  </si>
  <si>
    <t>Theoretical interpretation of nuclear binding/range data</t>
  </si>
  <si>
    <t>Force range and mass scale</t>
  </si>
  <si>
    <t>Nuclear force range implies intermediate-mass carrier</t>
  </si>
  <si>
    <t>Meson theory</t>
  </si>
  <si>
    <t>Theoretical milestone included as context, not an experiment</t>
  </si>
  <si>
    <t>https://en.wikipedia.org/wiki/Yukawa_potential</t>
  </si>
  <si>
    <t>Not a laboratory experiment</t>
  </si>
  <si>
    <t>E073</t>
  </si>
  <si>
    <t>1938-1939</t>
  </si>
  <si>
    <t>Hahn-Strassmann nuclear fission experiments</t>
  </si>
  <si>
    <t>Otto Hahn; Fritz Strassmann; interpreted by Lise Meitner and Otto Frisch</t>
  </si>
  <si>
    <t>Berlin / Sweden</t>
  </si>
  <si>
    <t>fission</t>
  </si>
  <si>
    <t>Neutron irradiation of uranium; radiochemical analysis</t>
  </si>
  <si>
    <t>Barium products; energy release</t>
  </si>
  <si>
    <t>Uranium nuclei can split into lighter nuclei</t>
  </si>
  <si>
    <t>Nuclear fission</t>
  </si>
  <si>
    <t>Opened nuclear-energy and reactor physics</t>
  </si>
  <si>
    <t>https://en.wikipedia.org/wiki/Discovery_of_nuclear_fission</t>
  </si>
  <si>
    <t>E074</t>
  </si>
  <si>
    <t>1939</t>
  </si>
  <si>
    <t>Bethe's solar fusion reaction analysis linked to stellar observations</t>
  </si>
  <si>
    <t>Hans Bethe</t>
  </si>
  <si>
    <t>Cornell</t>
  </si>
  <si>
    <t>Astrophysics / nuclear physics</t>
  </si>
  <si>
    <t>stellar energy</t>
  </si>
  <si>
    <t>Nuclear reaction theory constrained by solar luminosity</t>
  </si>
  <si>
    <t>Solar energy production pathways</t>
  </si>
  <si>
    <t>Stars powered by nuclear fusion cycles</t>
  </si>
  <si>
    <t>Stellar nucleosynthesis</t>
  </si>
  <si>
    <t>Theoretical milestone included for historical context</t>
  </si>
  <si>
    <t>https://en.wikipedia.org/wiki/Stellar_nucleosynthesis#History</t>
  </si>
  <si>
    <t>Not an experiment; included because experiments on nuclear reactions enabled it</t>
  </si>
  <si>
    <t>E075</t>
  </si>
  <si>
    <t>1940</t>
  </si>
  <si>
    <t>McMillan-Abelson neptunium discovery</t>
  </si>
  <si>
    <t>Edwin McMillan; Philip Abelson</t>
  </si>
  <si>
    <t>Berkeley</t>
  </si>
  <si>
    <t>transuranium elements</t>
  </si>
  <si>
    <t>Neutron bombardment of uranium; chemistry</t>
  </si>
  <si>
    <t>Beta decay chain products</t>
  </si>
  <si>
    <t>First transuranium element identified</t>
  </si>
  <si>
    <t>Nuclear reactions; transuranium chemistry</t>
  </si>
  <si>
    <t>Opened transuranium-element physics</t>
  </si>
  <si>
    <t>https://en.wikipedia.org/wiki/Neptunium#Discovery</t>
  </si>
  <si>
    <t>E076</t>
  </si>
  <si>
    <t>1946</t>
  </si>
  <si>
    <t>Bloch and Purcell nuclear magnetic resonance</t>
  </si>
  <si>
    <t>Felix Bloch; Edward Purcell</t>
  </si>
  <si>
    <t>Stanford / Harvard</t>
  </si>
  <si>
    <t>Atomic / condensed matter physics</t>
  </si>
  <si>
    <t>NMR</t>
  </si>
  <si>
    <t>RF fields applied to nuclei in magnetic field</t>
  </si>
  <si>
    <t>Resonance absorption / induction</t>
  </si>
  <si>
    <t>Nuclear magnetic moments resonate at Larmor frequency</t>
  </si>
  <si>
    <t>Magnetic resonance</t>
  </si>
  <si>
    <t>Basis of NMR spectroscopy and MRI</t>
  </si>
  <si>
    <t>https://en.wikipedia.org/wiki/Nuclear_magnetic_resonance#History</t>
  </si>
  <si>
    <t>E077</t>
  </si>
  <si>
    <t>1947</t>
  </si>
  <si>
    <t>Powell pion discovery in nuclear emulsions</t>
  </si>
  <si>
    <t>Cecil Powell; collaborators</t>
  </si>
  <si>
    <t>University of Bristol</t>
  </si>
  <si>
    <t>mesons / cosmic rays</t>
  </si>
  <si>
    <t>Photographic nuclear emulsions exposed to cosmic rays</t>
  </si>
  <si>
    <t>Charged-particle tracks and decay chains</t>
  </si>
  <si>
    <t>Pion identified as meson associated with nuclear force</t>
  </si>
  <si>
    <t>Meson physics</t>
  </si>
  <si>
    <t>Major confirmation of meson phenomenology</t>
  </si>
  <si>
    <t>https://en.wikipedia.org/wiki/Pion#History</t>
  </si>
  <si>
    <t>E078</t>
  </si>
  <si>
    <t>Lamb-Retherford hydrogen fine-structure measurement</t>
  </si>
  <si>
    <t>Willis Lamb; Robert Retherford</t>
  </si>
  <si>
    <t>Columbia University</t>
  </si>
  <si>
    <t>QED</t>
  </si>
  <si>
    <t>Microwave spectroscopy of hydrogen</t>
  </si>
  <si>
    <t>2S1/2-2P1/2 energy splitting</t>
  </si>
  <si>
    <t>Observed Lamb shift beyond Dirac equation</t>
  </si>
  <si>
    <t>Quantum electrodynamics; radiative corrections</t>
  </si>
  <si>
    <t>Crucial empirical driver of renormalized QED</t>
  </si>
  <si>
    <t>https://en.wikipedia.org/wiki/Lamb_shift</t>
  </si>
  <si>
    <t>E079</t>
  </si>
  <si>
    <t>1948</t>
  </si>
  <si>
    <t>Kusch-Foley electron magnetic moment anomaly</t>
  </si>
  <si>
    <t>Polykarp Kusch; Henry Foley</t>
  </si>
  <si>
    <t>magnetic moment</t>
  </si>
  <si>
    <t>Atomic beam magnetic resonance</t>
  </si>
  <si>
    <t>Electron g-factor</t>
  </si>
  <si>
    <t>Electron magnetic moment differs slightly from Dirac value</t>
  </si>
  <si>
    <t>QED anomalous magnetic moment</t>
  </si>
  <si>
    <t>Precision test of QED</t>
  </si>
  <si>
    <t>https://en.wikipedia.org/wiki/Anomalous_magnetic_dipole_moment</t>
  </si>
  <si>
    <t>E080</t>
  </si>
  <si>
    <t>Casimir force prediction and early tests</t>
  </si>
  <si>
    <t>Hendrik Casimir; later experimental tests</t>
  </si>
  <si>
    <t>Philips Research / later labs</t>
  </si>
  <si>
    <t>Quantum field theory</t>
  </si>
  <si>
    <t>vacuum fluctuations</t>
  </si>
  <si>
    <t>Force between conducting plates / later torsion balances</t>
  </si>
  <si>
    <t>Tiny attractive force</t>
  </si>
  <si>
    <t>Vacuum boundary conditions produce measurable force</t>
  </si>
  <si>
    <t>Quantum vacuum fluctuations</t>
  </si>
  <si>
    <t>Key macroscopic effect of quantum fields</t>
  </si>
  <si>
    <t>https://en.wikipedia.org/wiki/Casimir_effect</t>
  </si>
  <si>
    <t>Early measurements were difficult; high precision came later</t>
  </si>
  <si>
    <t>E081</t>
  </si>
  <si>
    <t>1952</t>
  </si>
  <si>
    <t>Glaser bubble chamber invention</t>
  </si>
  <si>
    <t>Donald A. Glaser</t>
  </si>
  <si>
    <t>University of Michigan</t>
  </si>
  <si>
    <t>detectors</t>
  </si>
  <si>
    <t>Superheated liquid chamber</t>
  </si>
  <si>
    <t>Bubble tracks from charged particles</t>
  </si>
  <si>
    <t>Charged particles can be imaged in bubble tracks</t>
  </si>
  <si>
    <t>Dominant detector technology for mid-century particle physics</t>
  </si>
  <si>
    <t>https://en.wikipedia.org/wiki/Bubble_chamber</t>
  </si>
  <si>
    <t>E082</t>
  </si>
  <si>
    <t>1956</t>
  </si>
  <si>
    <t>Cowan-Reines neutrino experiment</t>
  </si>
  <si>
    <t>Clyde Cowan; Frederick Reines</t>
  </si>
  <si>
    <t>Savannah River Plant</t>
  </si>
  <si>
    <t>neutrinos</t>
  </si>
  <si>
    <t>Reactor antineutrino detector with inverse beta decay signature</t>
  </si>
  <si>
    <t>Coincident gamma/neutron signals</t>
  </si>
  <si>
    <t>Electron antineutrino detected</t>
  </si>
  <si>
    <t>Neutrino existence</t>
  </si>
  <si>
    <t>First direct detection of neutrinos</t>
  </si>
  <si>
    <t>https://en.wikipedia.org/wiki/Cowan%E2%80%93Reines_neutrino_experiment</t>
  </si>
  <si>
    <t>E083</t>
  </si>
  <si>
    <t>1956-1957</t>
  </si>
  <si>
    <t>Wu experiment: parity violation</t>
  </si>
  <si>
    <t>Chien-Shiung Wu; Ernest Ambler; Raymond Hayward; Dale Hoppes; Ralph Hudson</t>
  </si>
  <si>
    <t>National Bureau of Standards</t>
  </si>
  <si>
    <t>weak interaction</t>
  </si>
  <si>
    <t>Beta decay of polarized cobalt-60 nuclei at low temperature</t>
  </si>
  <si>
    <t>Angular distribution of beta electrons</t>
  </si>
  <si>
    <t>Weak interaction violates parity symmetry</t>
  </si>
  <si>
    <t>Parity conservation test</t>
  </si>
  <si>
    <t>Revolutionized understanding of weak interactions</t>
  </si>
  <si>
    <t>https://en.wikipedia.org/wiki/Wu_experiment</t>
  </si>
  <si>
    <t>E084</t>
  </si>
  <si>
    <t>1958</t>
  </si>
  <si>
    <t>Mössbauer recoilless gamma-ray resonance</t>
  </si>
  <si>
    <t>Rudolf Mössbauer</t>
  </si>
  <si>
    <t>Technical University of Munich</t>
  </si>
  <si>
    <t>Nuclear / solid-state physics</t>
  </si>
  <si>
    <t>gamma spectroscopy</t>
  </si>
  <si>
    <t>Gamma-ray absorption/emission in solids</t>
  </si>
  <si>
    <t>Nuclear resonance without recoil</t>
  </si>
  <si>
    <t>Recoilless nuclear resonance possible in crystals</t>
  </si>
  <si>
    <t>Mössbauer effect</t>
  </si>
  <si>
    <t>Enabled precision tests and materials spectroscopy</t>
  </si>
  <si>
    <t>https://en.wikipedia.org/wiki/M%C3%B6ssbauer_effect</t>
  </si>
  <si>
    <t>E085</t>
  </si>
  <si>
    <t>1959</t>
  </si>
  <si>
    <t>Aharonov-Bohm effect electron interference tests</t>
  </si>
  <si>
    <t>Robert Chambers; later Akira Tonomura</t>
  </si>
  <si>
    <t>University of Bristol / Hitachi</t>
  </si>
  <si>
    <t>quantum phase</t>
  </si>
  <si>
    <t>Electron interference around magnetic flux</t>
  </si>
  <si>
    <t>Interference phase shift</t>
  </si>
  <si>
    <t>Electromagnetic potentials have observable quantum significance</t>
  </si>
  <si>
    <t>Gauge potentials; quantum nonlocality</t>
  </si>
  <si>
    <t>Landmark in quantum foundations</t>
  </si>
  <si>
    <t>https://en.wikipedia.org/wiki/Aharonov%E2%80%93Bohm_effect</t>
  </si>
  <si>
    <t>Early Chambers test debated; later Tonomura tests stronger</t>
  </si>
  <si>
    <t>E086</t>
  </si>
  <si>
    <t>1959-1960</t>
  </si>
  <si>
    <t>Pound-Rebka gravitational redshift experiment</t>
  </si>
  <si>
    <t>Robert Pound; Glen Rebka</t>
  </si>
  <si>
    <t>Harvard University</t>
  </si>
  <si>
    <t>gravitational redshift</t>
  </si>
  <si>
    <t>Mössbauer gamma rays in Jefferson tower</t>
  </si>
  <si>
    <t>Frequency shift with height</t>
  </si>
  <si>
    <t>Light shifts frequency in gravitational field</t>
  </si>
  <si>
    <t>General relativity; equivalence principle</t>
  </si>
  <si>
    <t>Precision laboratory test of GR</t>
  </si>
  <si>
    <t>https://en.wikipedia.org/wiki/Pound%E2%80%93Rebka_experiment</t>
  </si>
  <si>
    <t>E087</t>
  </si>
  <si>
    <t>1960</t>
  </si>
  <si>
    <t>Maiman ruby laser demonstration</t>
  </si>
  <si>
    <t>Theodore Maiman</t>
  </si>
  <si>
    <t>Hughes Research Laboratories</t>
  </si>
  <si>
    <t>Optics / quantum electronics</t>
  </si>
  <si>
    <t>laser</t>
  </si>
  <si>
    <t>Ruby crystal, flashlamp pumping, optical cavity</t>
  </si>
  <si>
    <t>Coherent optical emission</t>
  </si>
  <si>
    <t>First operational laser</t>
  </si>
  <si>
    <t>Stimulated emission; optical maser</t>
  </si>
  <si>
    <t>Founded laser physics and photonics</t>
  </si>
  <si>
    <t>https://en.wikipedia.org/wiki/Laser#History</t>
  </si>
  <si>
    <t>E088</t>
  </si>
  <si>
    <t>1961</t>
  </si>
  <si>
    <t>Hafele-Keating flying atomic clocks</t>
  </si>
  <si>
    <t>Joseph Hafele; Richard Keating</t>
  </si>
  <si>
    <t>Commercial flights worldwide</t>
  </si>
  <si>
    <t>Relativity</t>
  </si>
  <si>
    <t>time dilation</t>
  </si>
  <si>
    <t>Cesium atomic clocks flown east/west</t>
  </si>
  <si>
    <t>Clock time differences</t>
  </si>
  <si>
    <t>Relativistic time dilation and gravitational effects observed in transportable clocks</t>
  </si>
  <si>
    <t>Special and general relativity</t>
  </si>
  <si>
    <t>Publicly iconic clock test of relativity</t>
  </si>
  <si>
    <t>https://en.wikipedia.org/wiki/Hafele%E2%80%93Keating_experiment</t>
  </si>
  <si>
    <t>Precision and data treatment discussed historically</t>
  </si>
  <si>
    <t>E089</t>
  </si>
  <si>
    <t>1964</t>
  </si>
  <si>
    <t>Cronin-Fitch CP-violation experiment</t>
  </si>
  <si>
    <t>James Cronin; Val Fitch; collaborators</t>
  </si>
  <si>
    <t>Brookhaven National Laboratory</t>
  </si>
  <si>
    <t>symmetry violation</t>
  </si>
  <si>
    <t>Neutral kaon beam and decay detection</t>
  </si>
  <si>
    <t>K_L decay into two pions</t>
  </si>
  <si>
    <t>CP symmetry violated in weak interactions</t>
  </si>
  <si>
    <t>CP violation</t>
  </si>
  <si>
    <t>Opened study of matter-antimatter asymmetry mechanisms</t>
  </si>
  <si>
    <t>https://en.wikipedia.org/wiki/CP_violation#Experimental_status</t>
  </si>
  <si>
    <t>E090</t>
  </si>
  <si>
    <t>1964-1965</t>
  </si>
  <si>
    <t>Penzias-Wilson cosmic microwave background discovery</t>
  </si>
  <si>
    <t>Arno Penzias; Robert Wilson</t>
  </si>
  <si>
    <t>Bell Labs, Holmdel</t>
  </si>
  <si>
    <t>Cosmology</t>
  </si>
  <si>
    <t>CMB</t>
  </si>
  <si>
    <t>Microwave horn antenna</t>
  </si>
  <si>
    <t>Isotropic 3 K excess antenna temperature</t>
  </si>
  <si>
    <t>Cosmic microwave background radiation detected</t>
  </si>
  <si>
    <t>Big Bang cosmology</t>
  </si>
  <si>
    <t>Decisive evidence for hot Big Bang model</t>
  </si>
  <si>
    <t>https://en.wikipedia.org/wiki/Cosmic_microwave_background#Discovery</t>
  </si>
  <si>
    <t>E091</t>
  </si>
  <si>
    <t>1967-1968</t>
  </si>
  <si>
    <t>SLAC deep inelastic scattering</t>
  </si>
  <si>
    <t>Jerome Friedman; Henry Kendall; Richard Taylor; SLAC-MIT collaboration</t>
  </si>
  <si>
    <t>SLAC</t>
  </si>
  <si>
    <t>quark structure</t>
  </si>
  <si>
    <t>High-energy electron scattering from protons/neutrons</t>
  </si>
  <si>
    <t>Scattering cross sections at large momentum transfer</t>
  </si>
  <si>
    <t>Nucleons contain pointlike constituents</t>
  </si>
  <si>
    <t>Quark/parton model</t>
  </si>
  <si>
    <t>Experimental foundation of quark model and QCD</t>
  </si>
  <si>
    <t>https://en.wikipedia.org/wiki/Deep_inelastic_scattering</t>
  </si>
  <si>
    <t>E092</t>
  </si>
  <si>
    <t>1967-1970</t>
  </si>
  <si>
    <t>Davis Homestake solar-neutrino experiment</t>
  </si>
  <si>
    <t>Ray Davis Jr.</t>
  </si>
  <si>
    <t>Homestake Mine, South Dakota</t>
  </si>
  <si>
    <t>Astroparticle physics</t>
  </si>
  <si>
    <t>solar neutrinos</t>
  </si>
  <si>
    <t>Chlorine radiochemical detector</t>
  </si>
  <si>
    <t>Solar neutrino capture rate</t>
  </si>
  <si>
    <t>Observed fewer solar neutrinos than predicted</t>
  </si>
  <si>
    <t>Solar neutrino problem</t>
  </si>
  <si>
    <t>Led toward neutrino oscillation physics</t>
  </si>
  <si>
    <t>https://en.wikipedia.org/wiki/Homestake_experiment</t>
  </si>
  <si>
    <t>E093</t>
  </si>
  <si>
    <t>1968</t>
  </si>
  <si>
    <t>Josephson tunneling experiments</t>
  </si>
  <si>
    <t>Brian Josephson prediction; Philip Anderson and John Rowell experiments</t>
  </si>
  <si>
    <t>Bell Labs / Cambridge context</t>
  </si>
  <si>
    <t>Condensed matter / quantum physics</t>
  </si>
  <si>
    <t>superconducting tunneling</t>
  </si>
  <si>
    <t>Superconductor-insulator-superconductor junctions</t>
  </si>
  <si>
    <t>DC/AC tunneling currents</t>
  </si>
  <si>
    <t>Macroscopic quantum phase difference drives supercurrent</t>
  </si>
  <si>
    <t>Josephson effect</t>
  </si>
  <si>
    <t>Basis of SQUIDs, voltage standards, superconducting qubits</t>
  </si>
  <si>
    <t>https://en.wikipedia.org/wiki/Josephson_effect</t>
  </si>
  <si>
    <t>E094</t>
  </si>
  <si>
    <t>1971</t>
  </si>
  <si>
    <t>Shapiro time-delay tests with radar</t>
  </si>
  <si>
    <t>Irwin Shapiro and collaborators</t>
  </si>
  <si>
    <t>MIT / JPL radar astronomy</t>
  </si>
  <si>
    <t>time delay</t>
  </si>
  <si>
    <t>Radar ranging to planets/spacecraft near solar conjunction</t>
  </si>
  <si>
    <t>Round-trip travel-time delay</t>
  </si>
  <si>
    <t>Signals delayed by solar gravitational field</t>
  </si>
  <si>
    <t>Classic solar-system GR test</t>
  </si>
  <si>
    <t>https://en.wikipedia.org/wiki/Shapiro_time_delay</t>
  </si>
  <si>
    <t>E095</t>
  </si>
  <si>
    <t>1973</t>
  </si>
  <si>
    <t>Gargamelle neutral-current discovery</t>
  </si>
  <si>
    <t>Gargamelle collaboration</t>
  </si>
  <si>
    <t>CERN</t>
  </si>
  <si>
    <t>Heavy-liquid bubble chamber neutrino interactions</t>
  </si>
  <si>
    <t>Neutral-current event topologies</t>
  </si>
  <si>
    <t>Weak neutral currents exist</t>
  </si>
  <si>
    <t>Electroweak theory</t>
  </si>
  <si>
    <t>Major confirmation of electroweak unification</t>
  </si>
  <si>
    <t>CERN / encyclopedic overview</t>
  </si>
  <si>
    <t>https://en.wikipedia.org/wiki/Gargamelle</t>
  </si>
  <si>
    <t>E096</t>
  </si>
  <si>
    <t>1974</t>
  </si>
  <si>
    <t>J/psi discovery: November Revolution</t>
  </si>
  <si>
    <t>Burton Richter team; Samuel Ting team</t>
  </si>
  <si>
    <t>SLAC and Brookhaven</t>
  </si>
  <si>
    <t>charm quark</t>
  </si>
  <si>
    <t>e⁺e⁻ collisions and proton-nucleus experiments</t>
  </si>
  <si>
    <t>Narrow resonance near 3.1 GeV</t>
  </si>
  <si>
    <t>J/psi particle discovered, implying charm quark</t>
  </si>
  <si>
    <t>Quark model; charm</t>
  </si>
  <si>
    <t>Triggered modern quarkonium and Standard Model consolidation</t>
  </si>
  <si>
    <t>https://en.wikipedia.org/wiki/J/psi_meson</t>
  </si>
  <si>
    <t>E097</t>
  </si>
  <si>
    <t>1975</t>
  </si>
  <si>
    <t>Tau lepton discovery</t>
  </si>
  <si>
    <t>Martin Perl; SLAC-LBL collaboration</t>
  </si>
  <si>
    <t>leptons</t>
  </si>
  <si>
    <t>e⁺e⁻ collisions</t>
  </si>
  <si>
    <t>Anomalous lepton-pair events</t>
  </si>
  <si>
    <t>Third charged lepton discovered</t>
  </si>
  <si>
    <t>Lepton generations</t>
  </si>
  <si>
    <t>Evidence for third generation of matter</t>
  </si>
  <si>
    <t>https://en.wikipedia.org/wiki/Tau_(particle)#Discovery</t>
  </si>
  <si>
    <t>E098</t>
  </si>
  <si>
    <t>1977</t>
  </si>
  <si>
    <t>Bottom quark discovery</t>
  </si>
  <si>
    <t>E288 collaboration led by Leon Lederman</t>
  </si>
  <si>
    <t>Fermilab</t>
  </si>
  <si>
    <t>quarks</t>
  </si>
  <si>
    <t>Proton-nucleus collisions; dimuon resonance</t>
  </si>
  <si>
    <t>Upsilon resonance</t>
  </si>
  <si>
    <t>Bottom quark discovered in bottomonium states</t>
  </si>
  <si>
    <t>Quark generations</t>
  </si>
  <si>
    <t>Established third-generation quark sector</t>
  </si>
  <si>
    <t>https://en.wikipedia.org/wiki/Bottom_quark#Discovery</t>
  </si>
  <si>
    <t>E099</t>
  </si>
  <si>
    <t>1978</t>
  </si>
  <si>
    <t>COW neutron-interferometry gravity experiment</t>
  </si>
  <si>
    <t>Roberto Colella; Albert Overhauser; Samuel Werner</t>
  </si>
  <si>
    <t>Purdue / NIST reactor context</t>
  </si>
  <si>
    <t>Quantum physics / gravitation</t>
  </si>
  <si>
    <t>neutron interferometry</t>
  </si>
  <si>
    <t>Neutron interferometer tilted in gravitational field</t>
  </si>
  <si>
    <t>Phase shift</t>
  </si>
  <si>
    <t>Neutron quantum phase affected by gravitational potential</t>
  </si>
  <si>
    <t>Quantum mechanics in gravitational field</t>
  </si>
  <si>
    <t>Canonical test of gravity-induced quantum phase</t>
  </si>
  <si>
    <t>https://en.wikipedia.org/wiki/COW_experiment</t>
  </si>
  <si>
    <t>E100</t>
  </si>
  <si>
    <t>1979</t>
  </si>
  <si>
    <t>Gluon discovery at PETRA</t>
  </si>
  <si>
    <t>TASSO and other PETRA collaborations</t>
  </si>
  <si>
    <t>DESY, Hamburg</t>
  </si>
  <si>
    <t>QCD</t>
  </si>
  <si>
    <t>e⁺e⁻ annihilation to three-jet events</t>
  </si>
  <si>
    <t>Three-jet event topology</t>
  </si>
  <si>
    <t>Gluon observed as carrier of strong force</t>
  </si>
  <si>
    <t>Quantum chromodynamics</t>
  </si>
  <si>
    <t>Direct evidence for gluons</t>
  </si>
  <si>
    <t>DESY / encyclopedic overview</t>
  </si>
  <si>
    <t>https://en.wikipedia.org/wiki/Gluon#Experimental_observations</t>
  </si>
  <si>
    <t>E101</t>
  </si>
  <si>
    <t>1980</t>
  </si>
  <si>
    <t>Integer quantum Hall effect</t>
  </si>
  <si>
    <t>Klaus von Klitzing</t>
  </si>
  <si>
    <t>High Magnetic Field Laboratory, Grenoble</t>
  </si>
  <si>
    <t>quantum Hall</t>
  </si>
  <si>
    <t>2D electron gas at low temperature and high magnetic field</t>
  </si>
  <si>
    <t>Quantized Hall resistance</t>
  </si>
  <si>
    <t>Hall resistance quantized in exact plateaus</t>
  </si>
  <si>
    <t>Topological quantum transport</t>
  </si>
  <si>
    <t>Precision metrology and topology in condensed matter</t>
  </si>
  <si>
    <t>https://en.wikipedia.org/wiki/Quantum_Hall_effect</t>
  </si>
  <si>
    <t>E102</t>
  </si>
  <si>
    <t>1982</t>
  </si>
  <si>
    <t>Aspect Bell-test experiments</t>
  </si>
  <si>
    <t>Alain Aspect; Philippe Grangier; Gérard Roger</t>
  </si>
  <si>
    <t>Institut d'Optique, Orsay</t>
  </si>
  <si>
    <t>Quantum foundations</t>
  </si>
  <si>
    <t>Bell inequalities</t>
  </si>
  <si>
    <t>Polarization-entangled photons with analyzer switching</t>
  </si>
  <si>
    <t>Correlation functions</t>
  </si>
  <si>
    <t>Violations of Bell inequalities support quantum nonlocal correlations</t>
  </si>
  <si>
    <t>Local hidden-variable theories</t>
  </si>
  <si>
    <t>Landmark test of quantum entanglement</t>
  </si>
  <si>
    <t>https://en.wikipedia.org/wiki/Aspect%27s_experiment</t>
  </si>
  <si>
    <t>E103</t>
  </si>
  <si>
    <t>1983</t>
  </si>
  <si>
    <t>W and Z boson discovery</t>
  </si>
  <si>
    <t>UA1 and UA2 collaborations</t>
  </si>
  <si>
    <t>CERN SPS collider</t>
  </si>
  <si>
    <t>electroweak bosons</t>
  </si>
  <si>
    <t>Proton-antiproton collisions</t>
  </si>
  <si>
    <t>High-mass leptonic decay events</t>
  </si>
  <si>
    <t>W and Z bosons discovered</t>
  </si>
  <si>
    <t>Direct confirmation of electroweak gauge bosons</t>
  </si>
  <si>
    <t>Nobel / CERN overview</t>
  </si>
  <si>
    <t>https://en.wikipedia.org/wiki/W_and_Z_bosons#Discovery</t>
  </si>
  <si>
    <t>E104</t>
  </si>
  <si>
    <t>Scanning tunneling microscope atomic imaging</t>
  </si>
  <si>
    <t>Gerd Binnig; Heinrich Rohrer</t>
  </si>
  <si>
    <t>IBM Zürich</t>
  </si>
  <si>
    <t>Condensed matter / nanophysics</t>
  </si>
  <si>
    <t>surface physics</t>
  </si>
  <si>
    <t>Tunneling current between sharp tip and conducting surface</t>
  </si>
  <si>
    <t>Current vs tip position</t>
  </si>
  <si>
    <t>Atomic-scale surface imaging possible</t>
  </si>
  <si>
    <t>Quantum tunneling; surface electronic structure</t>
  </si>
  <si>
    <t>Founded scanning probe microscopy</t>
  </si>
  <si>
    <t>https://en.wikipedia.org/wiki/Scanning_tunneling_microscope</t>
  </si>
  <si>
    <t>E105</t>
  </si>
  <si>
    <t>Fractional quantum Hall effect</t>
  </si>
  <si>
    <t>Daniel Tsui; Horst Störmer; Arthur Gossard</t>
  </si>
  <si>
    <t>many-body/topology</t>
  </si>
  <si>
    <t>High-mobility 2D electron gas at high magnetic field</t>
  </si>
  <si>
    <t>Fractional Hall plateaus</t>
  </si>
  <si>
    <t>Hall conductance quantized at fractional values</t>
  </si>
  <si>
    <t>Strongly correlated electron states</t>
  </si>
  <si>
    <t>Discovered topological fractional quasiparticles</t>
  </si>
  <si>
    <t>https://en.wikipedia.org/wiki/Fractional_quantum_Hall_effect</t>
  </si>
  <si>
    <t>E106</t>
  </si>
  <si>
    <t>1986</t>
  </si>
  <si>
    <t>High-temperature superconductivity discovery</t>
  </si>
  <si>
    <t>J. Georg Bednorz; K. Alex Müller</t>
  </si>
  <si>
    <t>Ceramic copper oxide compounds; resistance/magnetization</t>
  </si>
  <si>
    <t>Transition temperature above conventional limits</t>
  </si>
  <si>
    <t>Cuprate superconductors exhibit high critical temperatures</t>
  </si>
  <si>
    <t>Unconventional superconductivity</t>
  </si>
  <si>
    <t>Transformed superconductivity research</t>
  </si>
  <si>
    <t>https://en.wikipedia.org/wiki/High-temperature_superconductivity#History</t>
  </si>
  <si>
    <t>E107</t>
  </si>
  <si>
    <t>1987</t>
  </si>
  <si>
    <t>Kamiokande neutrinos from SN 1987A</t>
  </si>
  <si>
    <t>Kamiokande-II; IMB; Baksan collaborations</t>
  </si>
  <si>
    <t>Japan / USA / USSR detectors</t>
  </si>
  <si>
    <t>supernova neutrinos</t>
  </si>
  <si>
    <t>Large water Cherenkov detectors</t>
  </si>
  <si>
    <t>Burst of neutrino events</t>
  </si>
  <si>
    <t>Neutrinos detected from supernova SN 1987A</t>
  </si>
  <si>
    <t>Core-collapse supernova theory</t>
  </si>
  <si>
    <t>Birth of neutrino astronomy beyond the Sun</t>
  </si>
  <si>
    <t>https://en.wikipedia.org/wiki/SN_1987A#Neutrino_emissions</t>
  </si>
  <si>
    <t>E108</t>
  </si>
  <si>
    <t>1989</t>
  </si>
  <si>
    <t>LEP precision electroweak measurements</t>
  </si>
  <si>
    <t>ALEPH, DELPHI, L3, OPAL collaborations</t>
  </si>
  <si>
    <t>CERN LEP</t>
  </si>
  <si>
    <t>precision electroweak</t>
  </si>
  <si>
    <t>e⁺e⁻ collider at Z pole</t>
  </si>
  <si>
    <t>Z lineshape, asymmetries, number of neutrinos</t>
  </si>
  <si>
    <t>Precision constraints on Standard Model parameters</t>
  </si>
  <si>
    <t>Electroweak Standard Model</t>
  </si>
  <si>
    <t>Benchmark precision era of collider physics</t>
  </si>
  <si>
    <t>https://en.wikipedia.org/wiki/Large_Electron%E2%80%93Positron_Collider</t>
  </si>
  <si>
    <t>Program rather than one experiment</t>
  </si>
  <si>
    <t>E109</t>
  </si>
  <si>
    <t>1992</t>
  </si>
  <si>
    <t>COBE CMB spectrum and anisotropy measurements</t>
  </si>
  <si>
    <t>COBE team led by George Smoot and John Mather</t>
  </si>
  <si>
    <t>NASA COBE satellite</t>
  </si>
  <si>
    <t>Spaceborne microwave radiometers and spectrophotometer</t>
  </si>
  <si>
    <t>Blackbody spectrum; temperature anisotropies</t>
  </si>
  <si>
    <t>CMB is near-perfect blackbody and has primordial anisotropies</t>
  </si>
  <si>
    <t>Big Bang; structure formation</t>
  </si>
  <si>
    <t>Precision cosmology milestone</t>
  </si>
  <si>
    <t>Nobel / NASA overview</t>
  </si>
  <si>
    <t>https://en.wikipedia.org/wiki/Cosmic_Background_Explorer</t>
  </si>
  <si>
    <t>E110</t>
  </si>
  <si>
    <t>1995</t>
  </si>
  <si>
    <t>Top quark discovery</t>
  </si>
  <si>
    <t>CDF and DØ collaborations</t>
  </si>
  <si>
    <t>Fermilab Tevatron</t>
  </si>
  <si>
    <t>Proton-antiproton collider; top decay channels</t>
  </si>
  <si>
    <t>High-mass top-pair events</t>
  </si>
  <si>
    <t>Top quark discovered</t>
  </si>
  <si>
    <t>Standard Model third generation</t>
  </si>
  <si>
    <t>Completed quark family experimentally</t>
  </si>
  <si>
    <t>Fermilab / encyclopedic overview</t>
  </si>
  <si>
    <t>https://en.wikipedia.org/wiki/Top_quark#Discovery</t>
  </si>
  <si>
    <t>E111</t>
  </si>
  <si>
    <t>Bose-Einstein condensate in dilute gases</t>
  </si>
  <si>
    <t>Eric Cornell; Carl Wieman; Wolfgang Ketterle</t>
  </si>
  <si>
    <t>JILA / MIT</t>
  </si>
  <si>
    <t>Atomic physics / quantum gases</t>
  </si>
  <si>
    <t>BEC</t>
  </si>
  <si>
    <t>Laser cooling, evaporative cooling, magnetic traps</t>
  </si>
  <si>
    <t>Macroscopic occupation of ground state</t>
  </si>
  <si>
    <t>Dilute atomic Bose-Einstein condensates produced</t>
  </si>
  <si>
    <t>Bose-Einstein statistics</t>
  </si>
  <si>
    <t>Opened ultracold quantum-gas physics</t>
  </si>
  <si>
    <t>https://en.wikipedia.org/wiki/Bose%E2%80%93Einstein_condensate#Experimental_observation</t>
  </si>
  <si>
    <t>E112</t>
  </si>
  <si>
    <t>1997-1998</t>
  </si>
  <si>
    <t>Quantum teleportation of photonic states</t>
  </si>
  <si>
    <t>Anton Zeilinger group; Nicolas Gisin group</t>
  </si>
  <si>
    <t>Innsbruck / Geneva</t>
  </si>
  <si>
    <t>Quantum information</t>
  </si>
  <si>
    <t>teleportation</t>
  </si>
  <si>
    <t>Entangled photons and Bell-state measurements</t>
  </si>
  <si>
    <t>Transferred quantum state fidelity</t>
  </si>
  <si>
    <t>Unknown quantum states can be teleported using entanglement and classical communication</t>
  </si>
  <si>
    <t>Quantum information theory</t>
  </si>
  <si>
    <t>Foundational experiment for quantum communication</t>
  </si>
  <si>
    <t>https://en.wikipedia.org/wiki/Quantum_teleportation#Experimental_results</t>
  </si>
  <si>
    <t>Early experiments demonstrated photonic states, not matter transport</t>
  </si>
  <si>
    <t>E113</t>
  </si>
  <si>
    <t>1998</t>
  </si>
  <si>
    <t>Super-Kamiokande atmospheric neutrino oscillation result</t>
  </si>
  <si>
    <t>Super-Kamiokande collaboration</t>
  </si>
  <si>
    <t>Kamioka, Japan</t>
  </si>
  <si>
    <t>Particle / astroparticle physics</t>
  </si>
  <si>
    <t>neutrino oscillations</t>
  </si>
  <si>
    <t>Water Cherenkov detector</t>
  </si>
  <si>
    <t>Zenith-angle-dependent atmospheric neutrino deficit</t>
  </si>
  <si>
    <t>Muon neutrinos oscillate into other flavors</t>
  </si>
  <si>
    <t>Neutrino mass and mixing</t>
  </si>
  <si>
    <t>First compelling evidence for neutrino mass</t>
  </si>
  <si>
    <t>https://en.wikipedia.org/wiki/Super-Kamiokande#Neutrino_oscillation</t>
  </si>
  <si>
    <t>E114</t>
  </si>
  <si>
    <t>Type Ia supernova cosmic acceleration</t>
  </si>
  <si>
    <t>Supernova Cosmology Project; High-z Supernova Search Team</t>
  </si>
  <si>
    <t>International telescope surveys</t>
  </si>
  <si>
    <t>dark energy</t>
  </si>
  <si>
    <t>Distant Type Ia supernova brightness-redshift measurements</t>
  </si>
  <si>
    <t>Luminosity distance vs redshift</t>
  </si>
  <si>
    <t>Cosmic expansion is accelerating</t>
  </si>
  <si>
    <t>Dark energy / cosmological constant</t>
  </si>
  <si>
    <t>Transformed modern cosmology</t>
  </si>
  <si>
    <t>https://en.wikipedia.org/wiki/Accelerating_expansion_of_the_universe</t>
  </si>
  <si>
    <t>E115</t>
  </si>
  <si>
    <t>2001</t>
  </si>
  <si>
    <t>RHIC quark-gluon plasma evidence</t>
  </si>
  <si>
    <t>STAR, PHENIX, PHOBOS, BRAHMS collaborations</t>
  </si>
  <si>
    <t>Brookhaven RHIC</t>
  </si>
  <si>
    <t>Nuclear / particle physics</t>
  </si>
  <si>
    <t>heavy-ion collisions</t>
  </si>
  <si>
    <t>Relativistic heavy-ion collider</t>
  </si>
  <si>
    <t>Jet quenching, elliptic flow, particle yields</t>
  </si>
  <si>
    <t>Hot dense matter behaves like strongly coupled quark-gluon plasma</t>
  </si>
  <si>
    <t>QCD matter at high temperature</t>
  </si>
  <si>
    <t>Opened precision heavy-ion physics</t>
  </si>
  <si>
    <t>BNL / encyclopedic overview</t>
  </si>
  <si>
    <t>https://en.wikipedia.org/wiki/Quark%E2%80%93gluon_plasma#Experimental_formation</t>
  </si>
  <si>
    <t>Discovery emerged from multiple observables over several years</t>
  </si>
  <si>
    <t>E116</t>
  </si>
  <si>
    <t>2002</t>
  </si>
  <si>
    <t>SNO solar neutrino flavor transformation</t>
  </si>
  <si>
    <t>Sudbury Neutrino Observatory collaboration</t>
  </si>
  <si>
    <t>Sudbury, Canada</t>
  </si>
  <si>
    <t>Heavy-water Cherenkov detector</t>
  </si>
  <si>
    <t>Charged-current, neutral-current, elastic-scattering rates</t>
  </si>
  <si>
    <t>Solar electron neutrinos transform into other flavors</t>
  </si>
  <si>
    <t>Neutrino oscillations; solar model</t>
  </si>
  <si>
    <t>Solved solar-neutrino problem</t>
  </si>
  <si>
    <t>https://en.wikipedia.org/wiki/Sudbury_Neutrino_Observatory</t>
  </si>
  <si>
    <t>E117</t>
  </si>
  <si>
    <t>2003</t>
  </si>
  <si>
    <t>WMAP precision cosmology results</t>
  </si>
  <si>
    <t>WMAP collaboration</t>
  </si>
  <si>
    <t>NASA WMAP satellite</t>
  </si>
  <si>
    <t>Spaceborne microwave anisotropy mapping</t>
  </si>
  <si>
    <t>CMB angular power spectrum</t>
  </si>
  <si>
    <t>ΛCDM parameters measured with high precision</t>
  </si>
  <si>
    <t>Inflationary cosmology; dark matter/energy</t>
  </si>
  <si>
    <t>Established concordance cosmology parameters</t>
  </si>
  <si>
    <t>NASA / encyclopedic overview</t>
  </si>
  <si>
    <t>https://en.wikipedia.org/wiki/Wilkinson_Microwave_Anisotropy_Probe</t>
  </si>
  <si>
    <t>Programmatic mission</t>
  </si>
  <si>
    <t>E118</t>
  </si>
  <si>
    <t>2004</t>
  </si>
  <si>
    <t>Graphene isolation and quantum transport</t>
  </si>
  <si>
    <t>Andre Geim; Konstantin Novoselov</t>
  </si>
  <si>
    <t>2D materials</t>
  </si>
  <si>
    <t>Mechanical exfoliation of graphite; transport measurements</t>
  </si>
  <si>
    <t>Ambipolar field effect; quantum Hall effect</t>
  </si>
  <si>
    <t>Stable single-layer graphene isolated and characterized</t>
  </si>
  <si>
    <t>Dirac fermions in 2D materials</t>
  </si>
  <si>
    <t>Launched modern 2D-materials field</t>
  </si>
  <si>
    <t>https://en.wikipedia.org/wiki/Graphene#History</t>
  </si>
  <si>
    <t>E119</t>
  </si>
  <si>
    <t>2005</t>
  </si>
  <si>
    <t>Optical frequency comb metrology</t>
  </si>
  <si>
    <t>John Hall; Theodor Hänsch; collaborators</t>
  </si>
  <si>
    <t>JILA / MPQ and others</t>
  </si>
  <si>
    <t>Atomic / optical physics</t>
  </si>
  <si>
    <t>precision metrology</t>
  </si>
  <si>
    <t>Mode-locked lasers and comb stabilization</t>
  </si>
  <si>
    <t>Optical frequencies linked to microwave standards</t>
  </si>
  <si>
    <t>Optical frequency combs enable direct precision frequency measurement</t>
  </si>
  <si>
    <t>Precision spectroscopy; clocks</t>
  </si>
  <si>
    <t>Revolutionized time/frequency metrology</t>
  </si>
  <si>
    <t>https://en.wikipedia.org/wiki/Frequency_comb</t>
  </si>
  <si>
    <t>Technique developed over years</t>
  </si>
  <si>
    <t>E120</t>
  </si>
  <si>
    <t>2010</t>
  </si>
  <si>
    <t>ALPHA antihydrogen trapping</t>
  </si>
  <si>
    <t>ALPHA collaboration</t>
  </si>
  <si>
    <t>Atomic / particle physics</t>
  </si>
  <si>
    <t>antimatter</t>
  </si>
  <si>
    <t>Magnetic minimum trap for antihydrogen atoms</t>
  </si>
  <si>
    <t>Trapped antihydrogen survival time</t>
  </si>
  <si>
    <t>Neutral antimatter atoms trapped for study</t>
  </si>
  <si>
    <t>CPT tests; antimatter gravity context</t>
  </si>
  <si>
    <t>Enabled precision antimatter spectroscopy</t>
  </si>
  <si>
    <t>https://en.wikipedia.org/wiki/Antihydrogen#Experiments</t>
  </si>
  <si>
    <t>E121</t>
  </si>
  <si>
    <t>2012</t>
  </si>
  <si>
    <t>Higgs boson discovery</t>
  </si>
  <si>
    <t>ATLAS and CMS collaborations</t>
  </si>
  <si>
    <t>CERN Large Hadron Collider</t>
  </si>
  <si>
    <t>Higgs sector</t>
  </si>
  <si>
    <t>Proton-proton collisions; multi-channel detectors</t>
  </si>
  <si>
    <t>Excess near 125 GeV</t>
  </si>
  <si>
    <t>New boson consistent with Higgs boson discovered</t>
  </si>
  <si>
    <t>Electroweak symmetry breaking</t>
  </si>
  <si>
    <t>Completed central mechanism of Standard Model</t>
  </si>
  <si>
    <t>https://en.wikipedia.org/wiki/Higgs_boson#Discovery</t>
  </si>
  <si>
    <t>E122</t>
  </si>
  <si>
    <t>2013</t>
  </si>
  <si>
    <t>Planck CMB precision measurements</t>
  </si>
  <si>
    <t>Planck collaboration</t>
  </si>
  <si>
    <t>ESA Planck satellite</t>
  </si>
  <si>
    <t>Spaceborne multi-frequency microwave observatory</t>
  </si>
  <si>
    <t>CMB temperature/polarization power spectra</t>
  </si>
  <si>
    <t>High-precision cosmological parameters and anisotropy maps</t>
  </si>
  <si>
    <t>ΛCDM cosmology</t>
  </si>
  <si>
    <t>Major precision cosmology data set</t>
  </si>
  <si>
    <t>ESA / encyclopedic overview</t>
  </si>
  <si>
    <t>https://en.wikipedia.org/wiki/Planck_(spacecraft)</t>
  </si>
  <si>
    <t>Mission, not single tabletop experiment</t>
  </si>
  <si>
    <t>E123</t>
  </si>
  <si>
    <t>2015</t>
  </si>
  <si>
    <t>Loophole-free Bell tests</t>
  </si>
  <si>
    <t>Hensen et al.; Giustina et al.; Shalm et al.</t>
  </si>
  <si>
    <t>Delft / Vienna / NIST</t>
  </si>
  <si>
    <t>entanglement</t>
  </si>
  <si>
    <t>Entangled photons or NV centers with spacelike-separated settings</t>
  </si>
  <si>
    <t>Bell inequality violations under closed major loopholes</t>
  </si>
  <si>
    <t>Local realism constrained under stricter experimental conditions</t>
  </si>
  <si>
    <t>Bell nonlocality</t>
  </si>
  <si>
    <t>Resolved major experimental loopholes in Bell testing</t>
  </si>
  <si>
    <t>https://en.wikipedia.org/wiki/Bell_test#Loophole-free_Bell_test_experiments</t>
  </si>
  <si>
    <t>Multiple near-simultaneous experiments</t>
  </si>
  <si>
    <t>E124</t>
  </si>
  <si>
    <t>LIGO gravitational-wave detection GW150914</t>
  </si>
  <si>
    <t>LIGO Scientific Collaboration; Virgo Collaboration</t>
  </si>
  <si>
    <t>LIGO Hanford and Livingston</t>
  </si>
  <si>
    <t>Gravitation / astrophysics</t>
  </si>
  <si>
    <t>gravitational waves</t>
  </si>
  <si>
    <t>Kilometer-scale laser interferometers</t>
  </si>
  <si>
    <t>Strain signal from binary black-hole merger</t>
  </si>
  <si>
    <t>Direct detection of gravitational waves</t>
  </si>
  <si>
    <t>General relativity; black holes</t>
  </si>
  <si>
    <t>Opened gravitational-wave astronomy</t>
  </si>
  <si>
    <t>Nobel / LIGO overview</t>
  </si>
  <si>
    <t>https://en.wikipedia.org/wiki/GW150914</t>
  </si>
  <si>
    <t>E125</t>
  </si>
  <si>
    <t>2017</t>
  </si>
  <si>
    <t>Multimessenger neutron-star merger GW170817</t>
  </si>
  <si>
    <t>LIGO/Virgo and electromagnetic observatories</t>
  </si>
  <si>
    <t>Global observatory network</t>
  </si>
  <si>
    <t>multimessenger astronomy</t>
  </si>
  <si>
    <t>Interferometers plus telescopes across spectrum</t>
  </si>
  <si>
    <t>Gravitational waves and kilonova/gamma-ray counterparts</t>
  </si>
  <si>
    <t>Binary neutron-star merger observed in gravitational and EM channels</t>
  </si>
  <si>
    <t>Neutron-star physics; r-process nucleosynthesis</t>
  </si>
  <si>
    <t>Launched multimessenger gravitational-wave astronomy</t>
  </si>
  <si>
    <t>https://en.wikipedia.org/wiki/GW170817</t>
  </si>
  <si>
    <t>E126</t>
  </si>
  <si>
    <t>2019</t>
  </si>
  <si>
    <t>Event Horizon Telescope image of M87*</t>
  </si>
  <si>
    <t>Event Horizon Telescope Collaboration</t>
  </si>
  <si>
    <t>Global VLBI array</t>
  </si>
  <si>
    <t>Astrophysics / gravitation</t>
  </si>
  <si>
    <t>black holes</t>
  </si>
  <si>
    <t>Very-long-baseline interferometry at 1.3 mm</t>
  </si>
  <si>
    <t>Black-hole shadow size and ring morphology</t>
  </si>
  <si>
    <t>Image consistent with supermassive black-hole shadow</t>
  </si>
  <si>
    <t>General relativity in strong field</t>
  </si>
  <si>
    <t>First resolved image of a black-hole shadow</t>
  </si>
  <si>
    <t>EHT / encyclopedic overview</t>
  </si>
  <si>
    <t>https://en.wikipedia.org/wiki/Event_Horizon_Telescope#First_image_of_a_black_hole</t>
  </si>
  <si>
    <t>E127</t>
  </si>
  <si>
    <t>2022</t>
  </si>
  <si>
    <t>Event Horizon Telescope image of Sagittarius A*</t>
  </si>
  <si>
    <t>Shadow/ring of Milky Way central black hole</t>
  </si>
  <si>
    <t>Sgr A* imaged at event-horizon scales</t>
  </si>
  <si>
    <t>Strong-field GR; Galactic-center black hole</t>
  </si>
  <si>
    <t>Confirmed compact object at Galactic center as black hole candidate</t>
  </si>
  <si>
    <t>https://en.wikipedia.org/wiki/Sagittarius_A*#Observation_and_description</t>
  </si>
  <si>
    <t>Image reconstruction and variability make analysis technically complex</t>
  </si>
  <si>
    <t>E128</t>
  </si>
  <si>
    <t>JWST early deep-field and exoplanet spectroscopy demonstrations</t>
  </si>
  <si>
    <t>JWST collaborations</t>
  </si>
  <si>
    <t>NASA/ESA/CSA JWST</t>
  </si>
  <si>
    <t>Astrophysics</t>
  </si>
  <si>
    <t>space telescopes</t>
  </si>
  <si>
    <t>Infrared space telescope imaging/spectroscopy</t>
  </si>
  <si>
    <t>High-redshift galaxies; atmospheric spectra</t>
  </si>
  <si>
    <t>New sensitivity opened early-galaxy and exoplanet-atmosphere studies</t>
  </si>
  <si>
    <t>Cosmic dawn; exoplanet atmospheres</t>
  </si>
  <si>
    <t>Instrumental/observational milestone rather than one fundamental test</t>
  </si>
  <si>
    <t>https://en.wikipedia.org/wiki/James_Webb_Space_Telescope#Scientific_results</t>
  </si>
  <si>
    <t>Included as recent observational milestone; not a single canonical physics experiment</t>
  </si>
  <si>
    <t>E129</t>
  </si>
  <si>
    <t>2023</t>
  </si>
  <si>
    <t>Muon g-2 Fermilab precision measurement update</t>
  </si>
  <si>
    <t>Muon g-2 Collaboration</t>
  </si>
  <si>
    <t>precision tests</t>
  </si>
  <si>
    <t>Storage ring and magnetic-field metrology</t>
  </si>
  <si>
    <t>Muon anomalous magnetic moment</t>
  </si>
  <si>
    <t>High-precision muon g-2 measurement compared with Standard Model predictions</t>
  </si>
  <si>
    <t>QED/electroweak/QCD precision physics</t>
  </si>
  <si>
    <t>Major ongoing precision test; interpretation depends on theory inputs</t>
  </si>
  <si>
    <t>https://en.wikipedia.org/wiki/Muon_g%E2%88%922</t>
  </si>
  <si>
    <t>Status depends on evolving Standard Model theory evaluations</t>
  </si>
  <si>
    <t>Catalogue Summary</t>
  </si>
  <si>
    <t>Metric</t>
  </si>
  <si>
    <t>Formula / value</t>
  </si>
  <si>
    <t>Total catalogue rows</t>
  </si>
  <si>
    <t>Earliest numeric start year</t>
  </si>
  <si>
    <t>Latest numeric start year</t>
  </si>
  <si>
    <t>Tier-1 canonical rows</t>
  </si>
  <si>
    <t>Rows with caveat/notes</t>
  </si>
  <si>
    <t>Count</t>
  </si>
  <si>
    <t>Share</t>
  </si>
  <si>
    <t>Definition</t>
  </si>
  <si>
    <t>Canonical field-shaping experiment/observation</t>
  </si>
  <si>
    <t>Very important but more specialized/programmatic</t>
  </si>
  <si>
    <t>Contextual, instrumental, or theory-linked milestone</t>
  </si>
  <si>
    <t>Period</t>
  </si>
  <si>
    <t>Ancient–Medieval</t>
  </si>
  <si>
    <t>Scientific Revolution / Early modern</t>
  </si>
  <si>
    <t>19th century</t>
  </si>
  <si>
    <t>1900–1945</t>
  </si>
  <si>
    <t>Postwar 1946–1979</t>
  </si>
  <si>
    <t>1980–1999</t>
  </si>
  <si>
    <t>2000–present</t>
  </si>
  <si>
    <t>Reference hub</t>
  </si>
  <si>
    <t>Use in this workbook</t>
  </si>
  <si>
    <t>URL</t>
  </si>
  <si>
    <t>Nobel Prize physics archive</t>
  </si>
  <si>
    <t>Prize summaries, lectures, and scientific background for Nobel-recognized experiments.</t>
  </si>
  <si>
    <t>https://www.nobelprize.org/prizes/physics/</t>
  </si>
  <si>
    <t>American Physical Society history resources</t>
  </si>
  <si>
    <t>Accessible historical essays and selected primary context.</t>
  </si>
  <si>
    <t>https://www.aps.org/archives</t>
  </si>
  <si>
    <t>CERN history and experiment pages</t>
  </si>
  <si>
    <t>Particle-physics discoveries, detectors, and accelerator history.</t>
  </si>
  <si>
    <t>https://home.cern/science</t>
  </si>
  <si>
    <t>NASA astrophysics missions</t>
  </si>
  <si>
    <t>Mission pages for COBE, WMAP, JWST and related astrophysics data sets.</t>
  </si>
  <si>
    <t>https://science.nasa.gov/</t>
  </si>
  <si>
    <t>ESA Planck mission</t>
  </si>
  <si>
    <t>Planck satellite mission and cosmology outputs.</t>
  </si>
  <si>
    <t>https://www.esa.int/Science_Exploration/Space_Science/Planck</t>
  </si>
  <si>
    <t>LIGO Laboratory</t>
  </si>
  <si>
    <t>Gravitational-wave detections, observatory descriptions, and data releases.</t>
  </si>
  <si>
    <t>https://www.ligo.caltech.edu/</t>
  </si>
  <si>
    <t>Event Horizon Telescope</t>
  </si>
  <si>
    <t>EHT collaboration results and black-hole imaging releases.</t>
  </si>
  <si>
    <t>https://eventhorizontelescope.org/</t>
  </si>
  <si>
    <t>Particle Data Group</t>
  </si>
  <si>
    <t>Authoritative particle properties and review articles.</t>
  </si>
  <si>
    <t>https://pdg.lbl.gov/</t>
  </si>
  <si>
    <t>NIST physics laboratory resources</t>
  </si>
  <si>
    <t>Precision measurement, constants, clocks, and standards context.</t>
  </si>
  <si>
    <t>https://www.nist.gov/pml</t>
  </si>
  <si>
    <t>Stanford Encyclopedia of Philosophy</t>
  </si>
  <si>
    <t>Useful for conceptual foundations and historical-philosophical interpretation.</t>
  </si>
  <si>
    <t>https://plato.stanford.edu/</t>
  </si>
  <si>
    <t>Internet Archive / scanned primary works</t>
  </si>
  <si>
    <t>Useful for historical monographs and original papers in public domain.</t>
  </si>
  <si>
    <t>https://archive.org/</t>
  </si>
  <si>
    <t>INSPIRE HEP</t>
  </si>
  <si>
    <t>Particle-physics literature database for primary and review sources.</t>
  </si>
  <si>
    <t>https://inspirehep.net/</t>
  </si>
  <si>
    <t>NASA ADS</t>
  </si>
  <si>
    <t>Astronomy and astrophysics bibliographic database.</t>
  </si>
  <si>
    <t>https://ui.adsabs.harvard.edu/</t>
  </si>
  <si>
    <t>Google Scholar</t>
  </si>
  <si>
    <t>Broad bibliographic follow-up; verify records before citation.</t>
  </si>
  <si>
    <t>https://scholar.google.com/</t>
  </si>
  <si>
    <t>Field</t>
  </si>
  <si>
    <t>Definition / allowed value</t>
  </si>
  <si>
    <t>Canonical field-shaping experiment/observation; use for central narrative spine.</t>
  </si>
  <si>
    <t>Highly important, but more specialized, derivative, programmatic, or less universally canonical.</t>
  </si>
  <si>
    <t>Contextual/theoretical/instrumental milestone included to help interpretation.</t>
  </si>
  <si>
    <t>Source kind: Encyclopedic overview</t>
  </si>
  <si>
    <t>A stable orientation URL; should be supplemented by primary literature for publication.</t>
  </si>
  <si>
    <t>Source kind: Nobel / encyclopedic overview</t>
  </si>
  <si>
    <t>Nobel pages or Nobel-related context plus an overview URL.</t>
  </si>
  <si>
    <t>Source kind: Scholarly overview</t>
  </si>
  <si>
    <t>A page suitable for identifying the relevant primary literature and modern historiography.</t>
  </si>
  <si>
    <t>Controlled scope</t>
  </si>
  <si>
    <t>The catalogue includes observations when they served the same evidentiary role as experiments in physics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</si>
</sst>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font>
      <sz val="11"/>
      <name val="Carlito"/>
    </font>
    <font>
      <sz val="11"/>
      <name val="Carlito"/>
    </font>
  </fonts>
  <fills count="7">
    <fill>
      <patternFill patternType="none"/>
    </fill>
    <fill>
      <patternFill patternType="gray125"/>
    </fill>
    <fill>
      <patternFill patternType="solid">
        <fgColor rgb="FFEAF3F8"/>
      </patternFill>
    </fill>
    <fill>
      <patternFill patternType="solid">
        <fgColor rgb="FFD9EAF7"/>
      </patternFill>
    </fill>
    <fill>
      <patternFill patternType="solid">
        <fgColor rgb="FFF7FBFF"/>
      </patternFill>
    </fill>
    <fill>
      <patternFill patternType="solid">
        <fgColor rgb="FFFAFAF7"/>
      </patternFill>
    </fill>
    <fill>
      <patternFill patternType="solid">
        <fgColor rgb="FFF9F7FB"/>
      </patternFill>
    </fill>
  </fills>
  <borders count="1">
    <border>
      <left/>
      <right/>
      <top/>
      <bottom/>
      <diagonal/>
    </border>
  </borders>
  <cellStyleXfs count="2">
    <xf numFmtId="0" fontId="0" fillId="0" borderId="0"/>
    <xf numFmtId="0" fontId="1" fillId="0" borderId="0"/>
  </cellStyleXfs>
  <cellXfs count="10">
    <xf numFmtId="0" fontId="0" fillId="0" borderId="0" xfId="0"/>
    <xf numFmtId="0" fontId="0" fillId="0" borderId="0" xfId="1" applyFont="1" applyAlignment="1">
      <alignment vertical="top" wrapText="1"/>
    </xf>
    <xf numFmtId="0" fontId="0" fillId="3" borderId="0" xfId="1" applyFont="1" applyFill="1" applyAlignment="1">
      <alignment horizontal="center" vertical="center" wrapText="1"/>
    </xf>
    <xf numFmtId="164" fontId="0" fillId="0" borderId="0" xfId="1" applyNumberFormat="1" applyFont="1" applyAlignment="1">
      <alignment vertical="top" wrapText="1"/>
    </xf>
    <xf numFmtId="0" fontId="0" fillId="4" borderId="0" xfId="1" applyFont="1" applyFill="1" applyAlignment="1">
      <alignment vertical="top" wrapText="1"/>
    </xf>
    <xf numFmtId="0" fontId="0" fillId="5" borderId="0" xfId="1" applyFont="1" applyFill="1" applyAlignment="1">
      <alignment vertical="top" wrapText="1"/>
    </xf>
    <xf numFmtId="0" fontId="0" fillId="6" borderId="0" xfId="1" applyFont="1" applyFill="1" applyAlignment="1">
      <alignment vertical="top" wrapText="1"/>
    </xf>
    <xf numFmtId="0" fontId="0" fillId="0" borderId="0" xfId="0"/>
    <xf numFmtId="0" fontId="0" fillId="2" borderId="0" xfId="1" applyFont="1" applyFill="1"/>
    <xf numFmtId="0" fontId="0" fillId="0" borderId="0" xfId="1" applyFont="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workbookViewId="0"/>
  </sheetViews>
  <sheetFormatPr defaultRowHeight="14"/>
  <cols>
    <col min="1" max="1" width="24" customWidth="1"/>
    <col min="2" max="2" width="72" customWidth="1"/>
    <col min="3" max="3" width="20" customWidth="1"/>
    <col min="4" max="4" width="18" customWidth="1"/>
    <col min="5" max="5" width="22" customWidth="1"/>
    <col min="6" max="6" width="14" customWidth="1"/>
    <col min="7" max="7" width="55" customWidth="1"/>
    <col min="8" max="8" width="16" customWidth="1"/>
  </cols>
  <sheetData>
    <row r="1" spans="1:8">
      <c r="A1" s="7" t="s">
        <v>0</v>
      </c>
      <c r="B1" s="7"/>
      <c r="C1" s="7"/>
      <c r="D1" s="7"/>
      <c r="E1" s="7"/>
      <c r="F1" s="7"/>
      <c r="G1" s="7"/>
      <c r="H1" s="7"/>
    </row>
    <row r="3" spans="1:8">
      <c r="A3" s="8" t="s">
        <v>1</v>
      </c>
      <c r="B3" s="7"/>
      <c r="C3" s="7"/>
      <c r="D3" s="7"/>
      <c r="E3" s="7"/>
      <c r="F3" s="7"/>
      <c r="G3" s="7"/>
      <c r="H3" s="7"/>
    </row>
    <row r="4" spans="1:8">
      <c r="A4" s="9" t="s">
        <v>2</v>
      </c>
      <c r="B4" s="7"/>
      <c r="C4" s="7"/>
      <c r="D4" s="7"/>
      <c r="E4" s="7"/>
      <c r="F4" s="7"/>
      <c r="G4" s="7"/>
      <c r="H4" s="7"/>
    </row>
    <row r="5" spans="1:8">
      <c r="A5" s="7"/>
      <c r="B5" s="7"/>
      <c r="C5" s="7"/>
      <c r="D5" s="7"/>
      <c r="E5" s="7"/>
      <c r="F5" s="7"/>
      <c r="G5" s="7"/>
      <c r="H5" s="7"/>
    </row>
    <row r="6" spans="1:8">
      <c r="A6" s="7"/>
      <c r="B6" s="7"/>
      <c r="C6" s="7"/>
      <c r="D6" s="7"/>
      <c r="E6" s="7"/>
      <c r="F6" s="7"/>
      <c r="G6" s="7"/>
      <c r="H6" s="7"/>
    </row>
    <row r="7" spans="1:8">
      <c r="A7" s="7"/>
      <c r="B7" s="7"/>
      <c r="C7" s="7"/>
      <c r="D7" s="7"/>
      <c r="E7" s="7"/>
      <c r="F7" s="7"/>
      <c r="G7" s="7"/>
      <c r="H7" s="7"/>
    </row>
    <row r="8" spans="1:8">
      <c r="A8" s="7"/>
      <c r="B8" s="7"/>
      <c r="C8" s="7"/>
      <c r="D8" s="7"/>
      <c r="E8" s="7"/>
      <c r="F8" s="7"/>
      <c r="G8" s="7"/>
      <c r="H8" s="7"/>
    </row>
    <row r="10" spans="1:8">
      <c r="A10" s="2" t="s">
        <v>3</v>
      </c>
      <c r="B10" s="2"/>
    </row>
    <row r="11" spans="1:8">
      <c r="A11" s="1" t="s">
        <v>4</v>
      </c>
      <c r="B11" s="1" t="s">
        <v>5</v>
      </c>
    </row>
    <row r="12" spans="1:8">
      <c r="A12" s="1" t="s">
        <v>6</v>
      </c>
      <c r="B12" s="1" t="s">
        <v>7</v>
      </c>
    </row>
    <row r="13" spans="1:8">
      <c r="A13" s="1" t="s">
        <v>8</v>
      </c>
      <c r="B13" s="1" t="s">
        <v>9</v>
      </c>
    </row>
    <row r="14" spans="1:8">
      <c r="A14" s="1" t="s">
        <v>10</v>
      </c>
      <c r="B14" s="1" t="s">
        <v>11</v>
      </c>
    </row>
    <row r="15" spans="1:8">
      <c r="A15" s="1" t="s">
        <v>12</v>
      </c>
      <c r="B15" s="1" t="s">
        <v>13</v>
      </c>
    </row>
    <row r="16" spans="1:8">
      <c r="A16" s="1" t="s">
        <v>14</v>
      </c>
      <c r="B16" s="1" t="s">
        <v>15</v>
      </c>
    </row>
    <row r="17" spans="1:8">
      <c r="A17" s="1" t="s">
        <v>16</v>
      </c>
      <c r="B17" s="1" t="s">
        <v>17</v>
      </c>
    </row>
    <row r="19" spans="1:8">
      <c r="A19" s="8" t="s">
        <v>18</v>
      </c>
      <c r="B19" s="7"/>
      <c r="C19" s="7"/>
      <c r="D19" s="7"/>
      <c r="E19" s="7"/>
      <c r="F19" s="7"/>
      <c r="G19" s="7"/>
      <c r="H19" s="7"/>
    </row>
    <row r="20" spans="1:8">
      <c r="A20" s="9" t="s">
        <v>19</v>
      </c>
      <c r="B20" s="7"/>
      <c r="C20" s="7"/>
      <c r="D20" s="7"/>
      <c r="E20" s="7"/>
      <c r="F20" s="7"/>
      <c r="G20" s="7"/>
      <c r="H20" s="7"/>
    </row>
    <row r="21" spans="1:8">
      <c r="A21" s="7"/>
      <c r="B21" s="7"/>
      <c r="C21" s="7"/>
      <c r="D21" s="7"/>
      <c r="E21" s="7"/>
      <c r="F21" s="7"/>
      <c r="G21" s="7"/>
      <c r="H21" s="7"/>
    </row>
    <row r="22" spans="1:8">
      <c r="A22" s="7"/>
      <c r="B22" s="7"/>
      <c r="C22" s="7"/>
      <c r="D22" s="7"/>
      <c r="E22" s="7"/>
      <c r="F22" s="7"/>
      <c r="G22" s="7"/>
      <c r="H22" s="7"/>
    </row>
    <row r="23" spans="1:8">
      <c r="A23" s="7"/>
      <c r="B23" s="7"/>
      <c r="C23" s="7"/>
      <c r="D23" s="7"/>
      <c r="E23" s="7"/>
      <c r="F23" s="7"/>
      <c r="G23" s="7"/>
      <c r="H23" s="7"/>
    </row>
    <row r="24" spans="1:8">
      <c r="A24" s="7"/>
      <c r="B24" s="7"/>
      <c r="C24" s="7"/>
      <c r="D24" s="7"/>
      <c r="E24" s="7"/>
      <c r="F24" s="7"/>
      <c r="G24" s="7"/>
      <c r="H24" s="7"/>
    </row>
    <row r="25" spans="1:8">
      <c r="A25" s="7"/>
      <c r="B25" s="7"/>
      <c r="C25" s="7"/>
      <c r="D25" s="7"/>
      <c r="E25" s="7"/>
      <c r="F25" s="7"/>
      <c r="G25" s="7"/>
      <c r="H25" s="7"/>
    </row>
    <row r="26" spans="1:8">
      <c r="A26" s="7"/>
      <c r="B26" s="7"/>
      <c r="C26" s="7"/>
      <c r="D26" s="7"/>
      <c r="E26" s="7"/>
      <c r="F26" s="7"/>
      <c r="G26" s="7"/>
      <c r="H26" s="7"/>
    </row>
  </sheetData>
  <mergeCells count="5">
    <mergeCell ref="A1:H1"/>
    <mergeCell ref="A3:H3"/>
    <mergeCell ref="A4:H8"/>
    <mergeCell ref="A19:H19"/>
    <mergeCell ref="A20:H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0"/>
  <sheetViews>
    <sheetView tabSelected="1" workbookViewId="0">
      <selection activeCell="C5" sqref="C5"/>
    </sheetView>
  </sheetViews>
  <sheetFormatPr defaultRowHeight="14"/>
  <cols>
    <col min="1" max="1" width="9" customWidth="1"/>
    <col min="2" max="2" width="14" customWidth="1"/>
    <col min="3" max="3" width="38" customWidth="1"/>
    <col min="4" max="4" width="28" customWidth="1"/>
    <col min="5" max="5" width="26" customWidth="1"/>
    <col min="6" max="6" width="22" customWidth="1"/>
    <col min="7" max="7" width="20" customWidth="1"/>
    <col min="8" max="8" width="36" customWidth="1"/>
    <col min="9" max="9" width="30" customWidth="1"/>
    <col min="10" max="10" width="42" customWidth="1"/>
    <col min="11" max="11" width="34" customWidth="1"/>
    <col min="12" max="12" width="42" customWidth="1"/>
    <col min="13" max="13" width="24" customWidth="1"/>
    <col min="14" max="14" width="48" customWidth="1"/>
    <col min="15" max="15" width="12" customWidth="1"/>
    <col min="16" max="16" width="42" customWidth="1"/>
  </cols>
  <sheetData>
    <row r="1" spans="1:16" ht="22.65" customHeight="1">
      <c r="A1" s="2" t="s">
        <v>20</v>
      </c>
      <c r="B1" s="2" t="s">
        <v>21</v>
      </c>
      <c r="C1" s="2" t="s">
        <v>22</v>
      </c>
      <c r="D1" s="2" t="s">
        <v>23</v>
      </c>
      <c r="E1" s="2" t="s">
        <v>24</v>
      </c>
      <c r="F1" s="2" t="s">
        <v>25</v>
      </c>
      <c r="G1" s="2" t="s">
        <v>26</v>
      </c>
      <c r="H1" s="2" t="s">
        <v>27</v>
      </c>
      <c r="I1" s="2" t="s">
        <v>28</v>
      </c>
      <c r="J1" s="2" t="s">
        <v>29</v>
      </c>
      <c r="K1" s="2" t="s">
        <v>30</v>
      </c>
      <c r="L1" s="2" t="s">
        <v>31</v>
      </c>
      <c r="M1" s="2" t="s">
        <v>32</v>
      </c>
      <c r="N1" s="2" t="s">
        <v>33</v>
      </c>
      <c r="O1" s="2" t="s">
        <v>34</v>
      </c>
      <c r="P1" s="2" t="s">
        <v>35</v>
      </c>
    </row>
    <row r="2" spans="1:16" ht="42.65" customHeight="1">
      <c r="A2" s="4" t="s">
        <v>36</v>
      </c>
      <c r="B2" s="4" t="s">
        <v>37</v>
      </c>
      <c r="C2" s="4" t="s">
        <v>38</v>
      </c>
      <c r="D2" s="4" t="s">
        <v>39</v>
      </c>
      <c r="E2" s="4" t="s">
        <v>40</v>
      </c>
      <c r="F2" s="4" t="s">
        <v>41</v>
      </c>
      <c r="G2" s="4" t="s">
        <v>42</v>
      </c>
      <c r="H2" s="4" t="s">
        <v>43</v>
      </c>
      <c r="I2" s="4" t="s">
        <v>44</v>
      </c>
      <c r="J2" s="4" t="s">
        <v>45</v>
      </c>
      <c r="K2" s="4" t="s">
        <v>46</v>
      </c>
      <c r="L2" s="4" t="s">
        <v>47</v>
      </c>
      <c r="M2" s="4" t="s">
        <v>48</v>
      </c>
      <c r="N2" s="4" t="s">
        <v>49</v>
      </c>
      <c r="O2" s="4">
        <v>1</v>
      </c>
      <c r="P2" s="4" t="s">
        <v>50</v>
      </c>
    </row>
    <row r="3" spans="1:16" ht="42.65" customHeight="1">
      <c r="A3" s="4" t="s">
        <v>51</v>
      </c>
      <c r="B3" s="4" t="s">
        <v>52</v>
      </c>
      <c r="C3" s="4" t="s">
        <v>53</v>
      </c>
      <c r="D3" s="4" t="s">
        <v>54</v>
      </c>
      <c r="E3" s="4" t="s">
        <v>55</v>
      </c>
      <c r="F3" s="4" t="s">
        <v>56</v>
      </c>
      <c r="G3" s="4" t="s">
        <v>57</v>
      </c>
      <c r="H3" s="4" t="s">
        <v>58</v>
      </c>
      <c r="I3" s="4" t="s">
        <v>59</v>
      </c>
      <c r="J3" s="4" t="s">
        <v>60</v>
      </c>
      <c r="K3" s="4" t="s">
        <v>61</v>
      </c>
      <c r="L3" s="4" t="s">
        <v>62</v>
      </c>
      <c r="M3" s="4" t="s">
        <v>48</v>
      </c>
      <c r="N3" s="4" t="s">
        <v>63</v>
      </c>
      <c r="O3" s="4">
        <v>1</v>
      </c>
      <c r="P3" s="4" t="s">
        <v>64</v>
      </c>
    </row>
    <row r="4" spans="1:16" ht="42.65" customHeight="1">
      <c r="A4" s="4" t="s">
        <v>65</v>
      </c>
      <c r="B4" s="4" t="s">
        <v>66</v>
      </c>
      <c r="C4" s="4" t="s">
        <v>67</v>
      </c>
      <c r="D4" s="4" t="s">
        <v>68</v>
      </c>
      <c r="E4" s="4" t="s">
        <v>69</v>
      </c>
      <c r="F4" s="4" t="s">
        <v>70</v>
      </c>
      <c r="G4" s="4" t="s">
        <v>71</v>
      </c>
      <c r="H4" s="4" t="s">
        <v>72</v>
      </c>
      <c r="I4" s="4" t="s">
        <v>73</v>
      </c>
      <c r="J4" s="4" t="s">
        <v>74</v>
      </c>
      <c r="K4" s="4" t="s">
        <v>75</v>
      </c>
      <c r="L4" s="4" t="s">
        <v>76</v>
      </c>
      <c r="M4" s="4" t="s">
        <v>48</v>
      </c>
      <c r="N4" s="4" t="s">
        <v>77</v>
      </c>
      <c r="O4" s="4">
        <v>1</v>
      </c>
      <c r="P4" s="4" t="s">
        <v>78</v>
      </c>
    </row>
    <row r="5" spans="1:16" ht="42.65" customHeight="1">
      <c r="A5" s="5" t="s">
        <v>79</v>
      </c>
      <c r="B5" s="5" t="s">
        <v>80</v>
      </c>
      <c r="C5" s="5" t="s">
        <v>81</v>
      </c>
      <c r="D5" s="5" t="s">
        <v>82</v>
      </c>
      <c r="E5" s="5" t="s">
        <v>83</v>
      </c>
      <c r="F5" s="5" t="s">
        <v>84</v>
      </c>
      <c r="G5" s="5" t="s">
        <v>85</v>
      </c>
      <c r="H5" s="5" t="s">
        <v>86</v>
      </c>
      <c r="I5" s="5" t="s">
        <v>87</v>
      </c>
      <c r="J5" s="5" t="s">
        <v>88</v>
      </c>
      <c r="K5" s="5" t="s">
        <v>89</v>
      </c>
      <c r="L5" s="5" t="s">
        <v>90</v>
      </c>
      <c r="M5" s="5" t="s">
        <v>48</v>
      </c>
      <c r="N5" s="5" t="s">
        <v>91</v>
      </c>
      <c r="O5" s="5">
        <v>2</v>
      </c>
      <c r="P5" s="5" t="s">
        <v>92</v>
      </c>
    </row>
    <row r="6" spans="1:16" ht="42.65" customHeight="1">
      <c r="A6" s="4" t="s">
        <v>93</v>
      </c>
      <c r="B6" s="4" t="s">
        <v>94</v>
      </c>
      <c r="C6" s="4" t="s">
        <v>95</v>
      </c>
      <c r="D6" s="4" t="s">
        <v>96</v>
      </c>
      <c r="E6" s="4" t="s">
        <v>97</v>
      </c>
      <c r="F6" s="4" t="s">
        <v>84</v>
      </c>
      <c r="G6" s="4" t="s">
        <v>98</v>
      </c>
      <c r="H6" s="4" t="s">
        <v>99</v>
      </c>
      <c r="I6" s="4" t="s">
        <v>100</v>
      </c>
      <c r="J6" s="4" t="s">
        <v>101</v>
      </c>
      <c r="K6" s="4" t="s">
        <v>102</v>
      </c>
      <c r="L6" s="4" t="s">
        <v>103</v>
      </c>
      <c r="M6" s="4" t="s">
        <v>104</v>
      </c>
      <c r="N6" s="4" t="s">
        <v>105</v>
      </c>
      <c r="O6" s="4">
        <v>1</v>
      </c>
      <c r="P6" s="4" t="s">
        <v>106</v>
      </c>
    </row>
    <row r="7" spans="1:16" ht="42.65" customHeight="1">
      <c r="A7" s="5" t="s">
        <v>107</v>
      </c>
      <c r="B7" s="5" t="s">
        <v>108</v>
      </c>
      <c r="C7" s="5" t="s">
        <v>109</v>
      </c>
      <c r="D7" s="5" t="s">
        <v>96</v>
      </c>
      <c r="E7" s="5" t="s">
        <v>110</v>
      </c>
      <c r="F7" s="5" t="s">
        <v>84</v>
      </c>
      <c r="G7" s="5" t="s">
        <v>111</v>
      </c>
      <c r="H7" s="5" t="s">
        <v>112</v>
      </c>
      <c r="I7" s="5" t="s">
        <v>113</v>
      </c>
      <c r="J7" s="5" t="s">
        <v>114</v>
      </c>
      <c r="K7" s="5" t="s">
        <v>115</v>
      </c>
      <c r="L7" s="5" t="s">
        <v>116</v>
      </c>
      <c r="M7" s="5" t="s">
        <v>48</v>
      </c>
      <c r="N7" s="5" t="s">
        <v>117</v>
      </c>
      <c r="O7" s="5">
        <v>2</v>
      </c>
      <c r="P7" s="5" t="s">
        <v>118</v>
      </c>
    </row>
    <row r="8" spans="1:16" ht="42.65" customHeight="1">
      <c r="A8" s="4" t="s">
        <v>119</v>
      </c>
      <c r="B8" s="4" t="s">
        <v>120</v>
      </c>
      <c r="C8" s="4" t="s">
        <v>121</v>
      </c>
      <c r="D8" s="4" t="s">
        <v>122</v>
      </c>
      <c r="E8" s="4" t="s">
        <v>123</v>
      </c>
      <c r="F8" s="4" t="s">
        <v>124</v>
      </c>
      <c r="G8" s="4" t="s">
        <v>125</v>
      </c>
      <c r="H8" s="4" t="s">
        <v>126</v>
      </c>
      <c r="I8" s="4" t="s">
        <v>127</v>
      </c>
      <c r="J8" s="4" t="s">
        <v>128</v>
      </c>
      <c r="K8" s="4" t="s">
        <v>129</v>
      </c>
      <c r="L8" s="4" t="s">
        <v>130</v>
      </c>
      <c r="M8" s="4" t="s">
        <v>48</v>
      </c>
      <c r="N8" s="4" t="s">
        <v>131</v>
      </c>
      <c r="O8" s="4">
        <v>1</v>
      </c>
      <c r="P8" s="4"/>
    </row>
    <row r="9" spans="1:16" ht="42.65" customHeight="1">
      <c r="A9" s="4" t="s">
        <v>132</v>
      </c>
      <c r="B9" s="4" t="s">
        <v>133</v>
      </c>
      <c r="C9" s="4" t="s">
        <v>134</v>
      </c>
      <c r="D9" s="4" t="s">
        <v>135</v>
      </c>
      <c r="E9" s="4" t="s">
        <v>136</v>
      </c>
      <c r="F9" s="4" t="s">
        <v>124</v>
      </c>
      <c r="G9" s="4" t="s">
        <v>125</v>
      </c>
      <c r="H9" s="4" t="s">
        <v>137</v>
      </c>
      <c r="I9" s="4" t="s">
        <v>138</v>
      </c>
      <c r="J9" s="4" t="s">
        <v>139</v>
      </c>
      <c r="K9" s="4" t="s">
        <v>140</v>
      </c>
      <c r="L9" s="4" t="s">
        <v>141</v>
      </c>
      <c r="M9" s="4" t="s">
        <v>48</v>
      </c>
      <c r="N9" s="4" t="s">
        <v>142</v>
      </c>
      <c r="O9" s="4">
        <v>1</v>
      </c>
      <c r="P9" s="4"/>
    </row>
    <row r="10" spans="1:16" ht="42.65" customHeight="1">
      <c r="A10" s="5" t="s">
        <v>143</v>
      </c>
      <c r="B10" s="5" t="s">
        <v>144</v>
      </c>
      <c r="C10" s="5" t="s">
        <v>145</v>
      </c>
      <c r="D10" s="5" t="s">
        <v>146</v>
      </c>
      <c r="E10" s="5" t="s">
        <v>147</v>
      </c>
      <c r="F10" s="5" t="s">
        <v>56</v>
      </c>
      <c r="G10" s="5" t="s">
        <v>148</v>
      </c>
      <c r="H10" s="5" t="s">
        <v>149</v>
      </c>
      <c r="I10" s="5" t="s">
        <v>150</v>
      </c>
      <c r="J10" s="5" t="s">
        <v>151</v>
      </c>
      <c r="K10" s="5" t="s">
        <v>152</v>
      </c>
      <c r="L10" s="5" t="s">
        <v>153</v>
      </c>
      <c r="M10" s="5" t="s">
        <v>48</v>
      </c>
      <c r="N10" s="5" t="s">
        <v>154</v>
      </c>
      <c r="O10" s="5">
        <v>2</v>
      </c>
      <c r="P10" s="5" t="s">
        <v>155</v>
      </c>
    </row>
    <row r="11" spans="1:16" ht="42.65" customHeight="1">
      <c r="A11" s="4" t="s">
        <v>156</v>
      </c>
      <c r="B11" s="4" t="s">
        <v>157</v>
      </c>
      <c r="C11" s="4" t="s">
        <v>158</v>
      </c>
      <c r="D11" s="4" t="s">
        <v>159</v>
      </c>
      <c r="E11" s="4" t="s">
        <v>160</v>
      </c>
      <c r="F11" s="4" t="s">
        <v>161</v>
      </c>
      <c r="G11" s="4" t="s">
        <v>162</v>
      </c>
      <c r="H11" s="4" t="s">
        <v>163</v>
      </c>
      <c r="I11" s="4" t="s">
        <v>164</v>
      </c>
      <c r="J11" s="4" t="s">
        <v>165</v>
      </c>
      <c r="K11" s="4" t="s">
        <v>166</v>
      </c>
      <c r="L11" s="4" t="s">
        <v>167</v>
      </c>
      <c r="M11" s="4" t="s">
        <v>168</v>
      </c>
      <c r="N11" s="4" t="s">
        <v>169</v>
      </c>
      <c r="O11" s="4">
        <v>1</v>
      </c>
      <c r="P11" s="4" t="s">
        <v>170</v>
      </c>
    </row>
    <row r="12" spans="1:16" ht="42.65" customHeight="1">
      <c r="A12" s="4" t="s">
        <v>171</v>
      </c>
      <c r="B12" s="4" t="s">
        <v>172</v>
      </c>
      <c r="C12" s="4" t="s">
        <v>173</v>
      </c>
      <c r="D12" s="4" t="s">
        <v>174</v>
      </c>
      <c r="E12" s="4" t="s">
        <v>175</v>
      </c>
      <c r="F12" s="4" t="s">
        <v>70</v>
      </c>
      <c r="G12" s="4" t="s">
        <v>176</v>
      </c>
      <c r="H12" s="4" t="s">
        <v>177</v>
      </c>
      <c r="I12" s="4" t="s">
        <v>178</v>
      </c>
      <c r="J12" s="4" t="s">
        <v>179</v>
      </c>
      <c r="K12" s="4" t="s">
        <v>180</v>
      </c>
      <c r="L12" s="4" t="s">
        <v>181</v>
      </c>
      <c r="M12" s="4" t="s">
        <v>48</v>
      </c>
      <c r="N12" s="4" t="s">
        <v>182</v>
      </c>
      <c r="O12" s="4">
        <v>1</v>
      </c>
      <c r="P12" s="4"/>
    </row>
    <row r="13" spans="1:16" ht="42.65" customHeight="1">
      <c r="A13" s="5" t="s">
        <v>183</v>
      </c>
      <c r="B13" s="5" t="s">
        <v>184</v>
      </c>
      <c r="C13" s="5" t="s">
        <v>185</v>
      </c>
      <c r="D13" s="5" t="s">
        <v>174</v>
      </c>
      <c r="E13" s="5" t="s">
        <v>175</v>
      </c>
      <c r="F13" s="5" t="s">
        <v>70</v>
      </c>
      <c r="G13" s="5" t="s">
        <v>186</v>
      </c>
      <c r="H13" s="5" t="s">
        <v>187</v>
      </c>
      <c r="I13" s="5" t="s">
        <v>188</v>
      </c>
      <c r="J13" s="5" t="s">
        <v>189</v>
      </c>
      <c r="K13" s="5" t="s">
        <v>190</v>
      </c>
      <c r="L13" s="5" t="s">
        <v>191</v>
      </c>
      <c r="M13" s="5" t="s">
        <v>48</v>
      </c>
      <c r="N13" s="5" t="s">
        <v>192</v>
      </c>
      <c r="O13" s="5">
        <v>2</v>
      </c>
      <c r="P13" s="5"/>
    </row>
    <row r="14" spans="1:16" ht="42.65" customHeight="1">
      <c r="A14" s="4" t="s">
        <v>193</v>
      </c>
      <c r="B14" s="4" t="s">
        <v>194</v>
      </c>
      <c r="C14" s="4" t="s">
        <v>195</v>
      </c>
      <c r="D14" s="4" t="s">
        <v>196</v>
      </c>
      <c r="E14" s="4" t="s">
        <v>197</v>
      </c>
      <c r="F14" s="4" t="s">
        <v>198</v>
      </c>
      <c r="G14" s="4" t="s">
        <v>199</v>
      </c>
      <c r="H14" s="4" t="s">
        <v>200</v>
      </c>
      <c r="I14" s="4" t="s">
        <v>201</v>
      </c>
      <c r="J14" s="4" t="s">
        <v>202</v>
      </c>
      <c r="K14" s="4" t="s">
        <v>203</v>
      </c>
      <c r="L14" s="4" t="s">
        <v>204</v>
      </c>
      <c r="M14" s="4" t="s">
        <v>48</v>
      </c>
      <c r="N14" s="4" t="s">
        <v>205</v>
      </c>
      <c r="O14" s="4">
        <v>1</v>
      </c>
      <c r="P14" s="4" t="s">
        <v>206</v>
      </c>
    </row>
    <row r="15" spans="1:16" ht="42.65" customHeight="1">
      <c r="A15" s="4" t="s">
        <v>207</v>
      </c>
      <c r="B15" s="4" t="s">
        <v>208</v>
      </c>
      <c r="C15" s="4" t="s">
        <v>209</v>
      </c>
      <c r="D15" s="4" t="s">
        <v>210</v>
      </c>
      <c r="E15" s="4" t="s">
        <v>211</v>
      </c>
      <c r="F15" s="4" t="s">
        <v>212</v>
      </c>
      <c r="G15" s="4" t="s">
        <v>213</v>
      </c>
      <c r="H15" s="4" t="s">
        <v>214</v>
      </c>
      <c r="I15" s="4" t="s">
        <v>215</v>
      </c>
      <c r="J15" s="4" t="s">
        <v>216</v>
      </c>
      <c r="K15" s="4" t="s">
        <v>217</v>
      </c>
      <c r="L15" s="4" t="s">
        <v>218</v>
      </c>
      <c r="M15" s="4" t="s">
        <v>48</v>
      </c>
      <c r="N15" s="4" t="s">
        <v>219</v>
      </c>
      <c r="O15" s="4">
        <v>1</v>
      </c>
      <c r="P15" s="4"/>
    </row>
    <row r="16" spans="1:16" ht="42.65" customHeight="1">
      <c r="A16" s="6" t="s">
        <v>220</v>
      </c>
      <c r="B16" s="6" t="s">
        <v>221</v>
      </c>
      <c r="C16" s="6" t="s">
        <v>222</v>
      </c>
      <c r="D16" s="6" t="s">
        <v>223</v>
      </c>
      <c r="E16" s="6" t="s">
        <v>224</v>
      </c>
      <c r="F16" s="6" t="s">
        <v>225</v>
      </c>
      <c r="G16" s="6" t="s">
        <v>226</v>
      </c>
      <c r="H16" s="6" t="s">
        <v>227</v>
      </c>
      <c r="I16" s="6" t="s">
        <v>228</v>
      </c>
      <c r="J16" s="6" t="s">
        <v>229</v>
      </c>
      <c r="K16" s="6" t="s">
        <v>230</v>
      </c>
      <c r="L16" s="6" t="s">
        <v>231</v>
      </c>
      <c r="M16" s="6" t="s">
        <v>48</v>
      </c>
      <c r="N16" s="6" t="s">
        <v>232</v>
      </c>
      <c r="O16" s="6">
        <v>3</v>
      </c>
      <c r="P16" s="6" t="s">
        <v>233</v>
      </c>
    </row>
    <row r="17" spans="1:16" ht="42.65" customHeight="1">
      <c r="A17" s="5" t="s">
        <v>234</v>
      </c>
      <c r="B17" s="5" t="s">
        <v>235</v>
      </c>
      <c r="C17" s="5" t="s">
        <v>236</v>
      </c>
      <c r="D17" s="5" t="s">
        <v>237</v>
      </c>
      <c r="E17" s="5" t="s">
        <v>238</v>
      </c>
      <c r="F17" s="5" t="s">
        <v>239</v>
      </c>
      <c r="G17" s="5" t="s">
        <v>240</v>
      </c>
      <c r="H17" s="5" t="s">
        <v>241</v>
      </c>
      <c r="I17" s="5" t="s">
        <v>242</v>
      </c>
      <c r="J17" s="5" t="s">
        <v>243</v>
      </c>
      <c r="K17" s="5" t="s">
        <v>244</v>
      </c>
      <c r="L17" s="5" t="s">
        <v>245</v>
      </c>
      <c r="M17" s="5" t="s">
        <v>48</v>
      </c>
      <c r="N17" s="5" t="s">
        <v>246</v>
      </c>
      <c r="O17" s="5">
        <v>2</v>
      </c>
      <c r="P17" s="5" t="s">
        <v>247</v>
      </c>
    </row>
    <row r="18" spans="1:16" ht="42.65" customHeight="1">
      <c r="A18" s="4" t="s">
        <v>248</v>
      </c>
      <c r="B18" s="4" t="s">
        <v>249</v>
      </c>
      <c r="C18" s="4" t="s">
        <v>250</v>
      </c>
      <c r="D18" s="4" t="s">
        <v>251</v>
      </c>
      <c r="E18" s="4" t="s">
        <v>252</v>
      </c>
      <c r="F18" s="4" t="s">
        <v>239</v>
      </c>
      <c r="G18" s="4" t="s">
        <v>253</v>
      </c>
      <c r="H18" s="4" t="s">
        <v>254</v>
      </c>
      <c r="I18" s="4" t="s">
        <v>255</v>
      </c>
      <c r="J18" s="4" t="s">
        <v>256</v>
      </c>
      <c r="K18" s="4" t="s">
        <v>257</v>
      </c>
      <c r="L18" s="4" t="s">
        <v>258</v>
      </c>
      <c r="M18" s="4" t="s">
        <v>48</v>
      </c>
      <c r="N18" s="4" t="s">
        <v>259</v>
      </c>
      <c r="O18" s="4">
        <v>1</v>
      </c>
      <c r="P18" s="4"/>
    </row>
    <row r="19" spans="1:16" ht="42.65" customHeight="1">
      <c r="A19" s="5" t="s">
        <v>260</v>
      </c>
      <c r="B19" s="5" t="s">
        <v>261</v>
      </c>
      <c r="C19" s="5" t="s">
        <v>262</v>
      </c>
      <c r="D19" s="5" t="s">
        <v>263</v>
      </c>
      <c r="E19" s="5" t="s">
        <v>264</v>
      </c>
      <c r="F19" s="5" t="s">
        <v>265</v>
      </c>
      <c r="G19" s="5" t="s">
        <v>266</v>
      </c>
      <c r="H19" s="5" t="s">
        <v>267</v>
      </c>
      <c r="I19" s="5" t="s">
        <v>268</v>
      </c>
      <c r="J19" s="5" t="s">
        <v>269</v>
      </c>
      <c r="K19" s="5" t="s">
        <v>270</v>
      </c>
      <c r="L19" s="5" t="s">
        <v>271</v>
      </c>
      <c r="M19" s="5" t="s">
        <v>48</v>
      </c>
      <c r="N19" s="5" t="s">
        <v>272</v>
      </c>
      <c r="O19" s="5">
        <v>2</v>
      </c>
      <c r="P19" s="5"/>
    </row>
    <row r="20" spans="1:16" ht="42.65" customHeight="1">
      <c r="A20" s="4" t="s">
        <v>273</v>
      </c>
      <c r="B20" s="4" t="s">
        <v>274</v>
      </c>
      <c r="C20" s="4" t="s">
        <v>275</v>
      </c>
      <c r="D20" s="4" t="s">
        <v>276</v>
      </c>
      <c r="E20" s="4" t="s">
        <v>277</v>
      </c>
      <c r="F20" s="4" t="s">
        <v>278</v>
      </c>
      <c r="G20" s="4" t="s">
        <v>279</v>
      </c>
      <c r="H20" s="4" t="s">
        <v>280</v>
      </c>
      <c r="I20" s="4" t="s">
        <v>281</v>
      </c>
      <c r="J20" s="4" t="s">
        <v>282</v>
      </c>
      <c r="K20" s="4" t="s">
        <v>283</v>
      </c>
      <c r="L20" s="4" t="s">
        <v>284</v>
      </c>
      <c r="M20" s="4" t="s">
        <v>48</v>
      </c>
      <c r="N20" s="4" t="s">
        <v>285</v>
      </c>
      <c r="O20" s="4">
        <v>1</v>
      </c>
      <c r="P20" s="4" t="s">
        <v>286</v>
      </c>
    </row>
    <row r="21" spans="1:16" ht="42.65" customHeight="1">
      <c r="A21" s="4" t="s">
        <v>287</v>
      </c>
      <c r="B21" s="4" t="s">
        <v>274</v>
      </c>
      <c r="C21" s="4" t="s">
        <v>288</v>
      </c>
      <c r="D21" s="4" t="s">
        <v>289</v>
      </c>
      <c r="E21" s="4" t="s">
        <v>290</v>
      </c>
      <c r="F21" s="4" t="s">
        <v>225</v>
      </c>
      <c r="G21" s="4" t="s">
        <v>291</v>
      </c>
      <c r="H21" s="4" t="s">
        <v>292</v>
      </c>
      <c r="I21" s="4" t="s">
        <v>293</v>
      </c>
      <c r="J21" s="4" t="s">
        <v>294</v>
      </c>
      <c r="K21" s="4" t="s">
        <v>295</v>
      </c>
      <c r="L21" s="4" t="s">
        <v>296</v>
      </c>
      <c r="M21" s="4" t="s">
        <v>48</v>
      </c>
      <c r="N21" s="4" t="s">
        <v>297</v>
      </c>
      <c r="O21" s="4">
        <v>1</v>
      </c>
      <c r="P21" s="4"/>
    </row>
    <row r="22" spans="1:16" ht="42.65" customHeight="1">
      <c r="A22" s="4" t="s">
        <v>298</v>
      </c>
      <c r="B22" s="4" t="s">
        <v>299</v>
      </c>
      <c r="C22" s="4" t="s">
        <v>300</v>
      </c>
      <c r="D22" s="4" t="s">
        <v>301</v>
      </c>
      <c r="E22" s="4" t="s">
        <v>302</v>
      </c>
      <c r="F22" s="4" t="s">
        <v>70</v>
      </c>
      <c r="G22" s="4" t="s">
        <v>186</v>
      </c>
      <c r="H22" s="4" t="s">
        <v>303</v>
      </c>
      <c r="I22" s="4" t="s">
        <v>304</v>
      </c>
      <c r="J22" s="4" t="s">
        <v>305</v>
      </c>
      <c r="K22" s="4" t="s">
        <v>306</v>
      </c>
      <c r="L22" s="4" t="s">
        <v>307</v>
      </c>
      <c r="M22" s="4" t="s">
        <v>48</v>
      </c>
      <c r="N22" s="4" t="s">
        <v>308</v>
      </c>
      <c r="O22" s="4">
        <v>1</v>
      </c>
      <c r="P22" s="4"/>
    </row>
    <row r="23" spans="1:16" ht="42.65" customHeight="1">
      <c r="A23" s="5" t="s">
        <v>309</v>
      </c>
      <c r="B23" s="5" t="s">
        <v>310</v>
      </c>
      <c r="C23" s="5" t="s">
        <v>311</v>
      </c>
      <c r="D23" s="5" t="s">
        <v>312</v>
      </c>
      <c r="E23" s="5" t="s">
        <v>252</v>
      </c>
      <c r="F23" s="5" t="s">
        <v>70</v>
      </c>
      <c r="G23" s="5" t="s">
        <v>313</v>
      </c>
      <c r="H23" s="5" t="s">
        <v>314</v>
      </c>
      <c r="I23" s="5" t="s">
        <v>315</v>
      </c>
      <c r="J23" s="5" t="s">
        <v>316</v>
      </c>
      <c r="K23" s="5" t="s">
        <v>317</v>
      </c>
      <c r="L23" s="5" t="s">
        <v>318</v>
      </c>
      <c r="M23" s="5" t="s">
        <v>48</v>
      </c>
      <c r="N23" s="5" t="s">
        <v>319</v>
      </c>
      <c r="O23" s="5">
        <v>2</v>
      </c>
      <c r="P23" s="5"/>
    </row>
    <row r="24" spans="1:16" ht="42.65" customHeight="1">
      <c r="A24" s="4" t="s">
        <v>320</v>
      </c>
      <c r="B24" s="4" t="s">
        <v>321</v>
      </c>
      <c r="C24" s="4" t="s">
        <v>322</v>
      </c>
      <c r="D24" s="4" t="s">
        <v>323</v>
      </c>
      <c r="E24" s="4" t="s">
        <v>252</v>
      </c>
      <c r="F24" s="4" t="s">
        <v>70</v>
      </c>
      <c r="G24" s="4" t="s">
        <v>324</v>
      </c>
      <c r="H24" s="4" t="s">
        <v>325</v>
      </c>
      <c r="I24" s="4" t="s">
        <v>326</v>
      </c>
      <c r="J24" s="4" t="s">
        <v>327</v>
      </c>
      <c r="K24" s="4" t="s">
        <v>328</v>
      </c>
      <c r="L24" s="4" t="s">
        <v>329</v>
      </c>
      <c r="M24" s="4" t="s">
        <v>48</v>
      </c>
      <c r="N24" s="4" t="s">
        <v>330</v>
      </c>
      <c r="O24" s="4">
        <v>1</v>
      </c>
      <c r="P24" s="4" t="s">
        <v>331</v>
      </c>
    </row>
    <row r="25" spans="1:16" ht="42.65" customHeight="1">
      <c r="A25" s="4" t="s">
        <v>332</v>
      </c>
      <c r="B25" s="4" t="s">
        <v>333</v>
      </c>
      <c r="C25" s="4" t="s">
        <v>334</v>
      </c>
      <c r="D25" s="4" t="s">
        <v>335</v>
      </c>
      <c r="E25" s="4" t="s">
        <v>336</v>
      </c>
      <c r="F25" s="4" t="s">
        <v>239</v>
      </c>
      <c r="G25" s="4" t="s">
        <v>337</v>
      </c>
      <c r="H25" s="4" t="s">
        <v>338</v>
      </c>
      <c r="I25" s="4" t="s">
        <v>339</v>
      </c>
      <c r="J25" s="4" t="s">
        <v>340</v>
      </c>
      <c r="K25" s="4" t="s">
        <v>341</v>
      </c>
      <c r="L25" s="4" t="s">
        <v>342</v>
      </c>
      <c r="M25" s="4" t="s">
        <v>48</v>
      </c>
      <c r="N25" s="4" t="s">
        <v>343</v>
      </c>
      <c r="O25" s="4">
        <v>1</v>
      </c>
      <c r="P25" s="4"/>
    </row>
    <row r="26" spans="1:16" ht="42.65" customHeight="1">
      <c r="A26" s="4" t="s">
        <v>344</v>
      </c>
      <c r="B26" s="4" t="s">
        <v>345</v>
      </c>
      <c r="C26" s="4" t="s">
        <v>346</v>
      </c>
      <c r="D26" s="4" t="s">
        <v>347</v>
      </c>
      <c r="E26" s="4" t="s">
        <v>252</v>
      </c>
      <c r="F26" s="4" t="s">
        <v>239</v>
      </c>
      <c r="G26" s="4" t="s">
        <v>348</v>
      </c>
      <c r="H26" s="4" t="s">
        <v>349</v>
      </c>
      <c r="I26" s="4" t="s">
        <v>350</v>
      </c>
      <c r="J26" s="4" t="s">
        <v>351</v>
      </c>
      <c r="K26" s="4" t="s">
        <v>352</v>
      </c>
      <c r="L26" s="4" t="s">
        <v>353</v>
      </c>
      <c r="M26" s="4" t="s">
        <v>48</v>
      </c>
      <c r="N26" s="4" t="s">
        <v>354</v>
      </c>
      <c r="O26" s="4">
        <v>1</v>
      </c>
      <c r="P26" s="4"/>
    </row>
    <row r="27" spans="1:16" ht="42.65" customHeight="1">
      <c r="A27" s="5" t="s">
        <v>355</v>
      </c>
      <c r="B27" s="5" t="s">
        <v>356</v>
      </c>
      <c r="C27" s="5" t="s">
        <v>357</v>
      </c>
      <c r="D27" s="5" t="s">
        <v>358</v>
      </c>
      <c r="E27" s="5" t="s">
        <v>359</v>
      </c>
      <c r="F27" s="5" t="s">
        <v>360</v>
      </c>
      <c r="G27" s="5" t="s">
        <v>361</v>
      </c>
      <c r="H27" s="5" t="s">
        <v>362</v>
      </c>
      <c r="I27" s="5" t="s">
        <v>363</v>
      </c>
      <c r="J27" s="5" t="s">
        <v>364</v>
      </c>
      <c r="K27" s="5" t="s">
        <v>365</v>
      </c>
      <c r="L27" s="5" t="s">
        <v>366</v>
      </c>
      <c r="M27" s="5" t="s">
        <v>48</v>
      </c>
      <c r="N27" s="5" t="s">
        <v>367</v>
      </c>
      <c r="O27" s="5">
        <v>2</v>
      </c>
      <c r="P27" s="5"/>
    </row>
    <row r="28" spans="1:16" ht="42.65" customHeight="1">
      <c r="A28" s="4" t="s">
        <v>368</v>
      </c>
      <c r="B28" s="4" t="s">
        <v>369</v>
      </c>
      <c r="C28" s="4" t="s">
        <v>370</v>
      </c>
      <c r="D28" s="4" t="s">
        <v>371</v>
      </c>
      <c r="E28" s="4" t="s">
        <v>372</v>
      </c>
      <c r="F28" s="4" t="s">
        <v>373</v>
      </c>
      <c r="G28" s="4" t="s">
        <v>374</v>
      </c>
      <c r="H28" s="4" t="s">
        <v>375</v>
      </c>
      <c r="I28" s="4" t="s">
        <v>376</v>
      </c>
      <c r="J28" s="4" t="s">
        <v>377</v>
      </c>
      <c r="K28" s="4" t="s">
        <v>378</v>
      </c>
      <c r="L28" s="4" t="s">
        <v>379</v>
      </c>
      <c r="M28" s="4" t="s">
        <v>48</v>
      </c>
      <c r="N28" s="4" t="s">
        <v>380</v>
      </c>
      <c r="O28" s="4">
        <v>1</v>
      </c>
      <c r="P28" s="4" t="s">
        <v>381</v>
      </c>
    </row>
    <row r="29" spans="1:16" ht="42.65" customHeight="1">
      <c r="A29" s="4" t="s">
        <v>382</v>
      </c>
      <c r="B29" s="4" t="s">
        <v>383</v>
      </c>
      <c r="C29" s="4" t="s">
        <v>384</v>
      </c>
      <c r="D29" s="4" t="s">
        <v>385</v>
      </c>
      <c r="E29" s="4" t="s">
        <v>386</v>
      </c>
      <c r="F29" s="4" t="s">
        <v>239</v>
      </c>
      <c r="G29" s="4" t="s">
        <v>387</v>
      </c>
      <c r="H29" s="4" t="s">
        <v>388</v>
      </c>
      <c r="I29" s="4" t="s">
        <v>389</v>
      </c>
      <c r="J29" s="4" t="s">
        <v>390</v>
      </c>
      <c r="K29" s="4" t="s">
        <v>391</v>
      </c>
      <c r="L29" s="4" t="s">
        <v>392</v>
      </c>
      <c r="M29" s="4" t="s">
        <v>48</v>
      </c>
      <c r="N29" s="4" t="s">
        <v>393</v>
      </c>
      <c r="O29" s="4">
        <v>1</v>
      </c>
      <c r="P29" s="4"/>
    </row>
    <row r="30" spans="1:16" ht="42.65" customHeight="1">
      <c r="A30" s="4" t="s">
        <v>394</v>
      </c>
      <c r="B30" s="4" t="s">
        <v>395</v>
      </c>
      <c r="C30" s="4" t="s">
        <v>396</v>
      </c>
      <c r="D30" s="4" t="s">
        <v>385</v>
      </c>
      <c r="E30" s="4" t="s">
        <v>386</v>
      </c>
      <c r="F30" s="4" t="s">
        <v>397</v>
      </c>
      <c r="G30" s="4" t="s">
        <v>398</v>
      </c>
      <c r="H30" s="4" t="s">
        <v>399</v>
      </c>
      <c r="I30" s="4" t="s">
        <v>400</v>
      </c>
      <c r="J30" s="4" t="s">
        <v>401</v>
      </c>
      <c r="K30" s="4" t="s">
        <v>402</v>
      </c>
      <c r="L30" s="4" t="s">
        <v>403</v>
      </c>
      <c r="M30" s="4" t="s">
        <v>48</v>
      </c>
      <c r="N30" s="4" t="s">
        <v>404</v>
      </c>
      <c r="O30" s="4">
        <v>1</v>
      </c>
      <c r="P30" s="4"/>
    </row>
    <row r="31" spans="1:16" ht="42.65" customHeight="1">
      <c r="A31" s="4" t="s">
        <v>405</v>
      </c>
      <c r="B31" s="4" t="s">
        <v>406</v>
      </c>
      <c r="C31" s="4" t="s">
        <v>407</v>
      </c>
      <c r="D31" s="4" t="s">
        <v>408</v>
      </c>
      <c r="E31" s="4" t="s">
        <v>409</v>
      </c>
      <c r="F31" s="4" t="s">
        <v>410</v>
      </c>
      <c r="G31" s="4" t="s">
        <v>411</v>
      </c>
      <c r="H31" s="4" t="s">
        <v>412</v>
      </c>
      <c r="I31" s="4" t="s">
        <v>413</v>
      </c>
      <c r="J31" s="4" t="s">
        <v>414</v>
      </c>
      <c r="K31" s="4" t="s">
        <v>415</v>
      </c>
      <c r="L31" s="4" t="s">
        <v>416</v>
      </c>
      <c r="M31" s="4" t="s">
        <v>48</v>
      </c>
      <c r="N31" s="4" t="s">
        <v>417</v>
      </c>
      <c r="O31" s="4">
        <v>1</v>
      </c>
      <c r="P31" s="4"/>
    </row>
    <row r="32" spans="1:16" ht="42.65" customHeight="1">
      <c r="A32" s="4" t="s">
        <v>418</v>
      </c>
      <c r="B32" s="4" t="s">
        <v>419</v>
      </c>
      <c r="C32" s="4" t="s">
        <v>420</v>
      </c>
      <c r="D32" s="4" t="s">
        <v>385</v>
      </c>
      <c r="E32" s="4" t="s">
        <v>386</v>
      </c>
      <c r="F32" s="4" t="s">
        <v>421</v>
      </c>
      <c r="G32" s="4" t="s">
        <v>422</v>
      </c>
      <c r="H32" s="4" t="s">
        <v>423</v>
      </c>
      <c r="I32" s="4" t="s">
        <v>424</v>
      </c>
      <c r="J32" s="4" t="s">
        <v>425</v>
      </c>
      <c r="K32" s="4" t="s">
        <v>426</v>
      </c>
      <c r="L32" s="4" t="s">
        <v>427</v>
      </c>
      <c r="M32" s="4" t="s">
        <v>48</v>
      </c>
      <c r="N32" s="4" t="s">
        <v>428</v>
      </c>
      <c r="O32" s="4">
        <v>1</v>
      </c>
      <c r="P32" s="4"/>
    </row>
    <row r="33" spans="1:16" ht="42.65" customHeight="1">
      <c r="A33" s="4" t="s">
        <v>429</v>
      </c>
      <c r="B33" s="4" t="s">
        <v>430</v>
      </c>
      <c r="C33" s="4" t="s">
        <v>431</v>
      </c>
      <c r="D33" s="4" t="s">
        <v>408</v>
      </c>
      <c r="E33" s="4" t="s">
        <v>409</v>
      </c>
      <c r="F33" s="4" t="s">
        <v>225</v>
      </c>
      <c r="G33" s="4" t="s">
        <v>432</v>
      </c>
      <c r="H33" s="4" t="s">
        <v>433</v>
      </c>
      <c r="I33" s="4" t="s">
        <v>434</v>
      </c>
      <c r="J33" s="4" t="s">
        <v>435</v>
      </c>
      <c r="K33" s="4" t="s">
        <v>436</v>
      </c>
      <c r="L33" s="4" t="s">
        <v>437</v>
      </c>
      <c r="M33" s="4" t="s">
        <v>48</v>
      </c>
      <c r="N33" s="4" t="s">
        <v>438</v>
      </c>
      <c r="O33" s="4">
        <v>1</v>
      </c>
      <c r="P33" s="4"/>
    </row>
    <row r="34" spans="1:16" ht="42.65" customHeight="1">
      <c r="A34" s="4" t="s">
        <v>439</v>
      </c>
      <c r="B34" s="4" t="s">
        <v>440</v>
      </c>
      <c r="C34" s="4" t="s">
        <v>441</v>
      </c>
      <c r="D34" s="4" t="s">
        <v>442</v>
      </c>
      <c r="E34" s="4" t="s">
        <v>443</v>
      </c>
      <c r="F34" s="4" t="s">
        <v>70</v>
      </c>
      <c r="G34" s="4" t="s">
        <v>199</v>
      </c>
      <c r="H34" s="4" t="s">
        <v>444</v>
      </c>
      <c r="I34" s="4" t="s">
        <v>445</v>
      </c>
      <c r="J34" s="4" t="s">
        <v>446</v>
      </c>
      <c r="K34" s="4" t="s">
        <v>447</v>
      </c>
      <c r="L34" s="4" t="s">
        <v>448</v>
      </c>
      <c r="M34" s="4" t="s">
        <v>48</v>
      </c>
      <c r="N34" s="4" t="s">
        <v>449</v>
      </c>
      <c r="O34" s="4">
        <v>1</v>
      </c>
      <c r="P34" s="4"/>
    </row>
    <row r="35" spans="1:16" ht="42.65" customHeight="1">
      <c r="A35" s="4" t="s">
        <v>450</v>
      </c>
      <c r="B35" s="4" t="s">
        <v>451</v>
      </c>
      <c r="C35" s="4" t="s">
        <v>452</v>
      </c>
      <c r="D35" s="4" t="s">
        <v>453</v>
      </c>
      <c r="E35" s="4" t="s">
        <v>454</v>
      </c>
      <c r="F35" s="4" t="s">
        <v>455</v>
      </c>
      <c r="G35" s="4" t="s">
        <v>456</v>
      </c>
      <c r="H35" s="4" t="s">
        <v>457</v>
      </c>
      <c r="I35" s="4" t="s">
        <v>458</v>
      </c>
      <c r="J35" s="4" t="s">
        <v>459</v>
      </c>
      <c r="K35" s="4" t="s">
        <v>460</v>
      </c>
      <c r="L35" s="4" t="s">
        <v>461</v>
      </c>
      <c r="M35" s="4" t="s">
        <v>48</v>
      </c>
      <c r="N35" s="4" t="s">
        <v>462</v>
      </c>
      <c r="O35" s="4">
        <v>1</v>
      </c>
      <c r="P35" s="4"/>
    </row>
    <row r="36" spans="1:16" ht="42.65" customHeight="1">
      <c r="A36" s="4" t="s">
        <v>463</v>
      </c>
      <c r="B36" s="4" t="s">
        <v>451</v>
      </c>
      <c r="C36" s="4" t="s">
        <v>464</v>
      </c>
      <c r="D36" s="4" t="s">
        <v>442</v>
      </c>
      <c r="E36" s="4" t="s">
        <v>252</v>
      </c>
      <c r="F36" s="4" t="s">
        <v>465</v>
      </c>
      <c r="G36" s="4" t="s">
        <v>466</v>
      </c>
      <c r="H36" s="4" t="s">
        <v>467</v>
      </c>
      <c r="I36" s="4" t="s">
        <v>468</v>
      </c>
      <c r="J36" s="4" t="s">
        <v>469</v>
      </c>
      <c r="K36" s="4" t="s">
        <v>470</v>
      </c>
      <c r="L36" s="4" t="s">
        <v>471</v>
      </c>
      <c r="M36" s="4" t="s">
        <v>48</v>
      </c>
      <c r="N36" s="4" t="s">
        <v>472</v>
      </c>
      <c r="O36" s="4">
        <v>1</v>
      </c>
      <c r="P36" s="4"/>
    </row>
    <row r="37" spans="1:16" ht="42.65" customHeight="1">
      <c r="A37" s="4" t="s">
        <v>473</v>
      </c>
      <c r="B37" s="4" t="s">
        <v>474</v>
      </c>
      <c r="C37" s="4" t="s">
        <v>475</v>
      </c>
      <c r="D37" s="4" t="s">
        <v>476</v>
      </c>
      <c r="E37" s="4" t="s">
        <v>477</v>
      </c>
      <c r="F37" s="4" t="s">
        <v>478</v>
      </c>
      <c r="G37" s="4" t="s">
        <v>479</v>
      </c>
      <c r="H37" s="4" t="s">
        <v>480</v>
      </c>
      <c r="I37" s="4" t="s">
        <v>481</v>
      </c>
      <c r="J37" s="4" t="s">
        <v>482</v>
      </c>
      <c r="K37" s="4" t="s">
        <v>483</v>
      </c>
      <c r="L37" s="4" t="s">
        <v>484</v>
      </c>
      <c r="M37" s="4" t="s">
        <v>48</v>
      </c>
      <c r="N37" s="4" t="s">
        <v>485</v>
      </c>
      <c r="O37" s="4">
        <v>1</v>
      </c>
      <c r="P37" s="4"/>
    </row>
    <row r="38" spans="1:16" ht="42.65" customHeight="1">
      <c r="A38" s="6" t="s">
        <v>486</v>
      </c>
      <c r="B38" s="6" t="s">
        <v>487</v>
      </c>
      <c r="C38" s="6" t="s">
        <v>488</v>
      </c>
      <c r="D38" s="6" t="s">
        <v>489</v>
      </c>
      <c r="E38" s="6" t="s">
        <v>386</v>
      </c>
      <c r="F38" s="6" t="s">
        <v>70</v>
      </c>
      <c r="G38" s="6" t="s">
        <v>490</v>
      </c>
      <c r="H38" s="6" t="s">
        <v>491</v>
      </c>
      <c r="I38" s="6" t="s">
        <v>492</v>
      </c>
      <c r="J38" s="6" t="s">
        <v>493</v>
      </c>
      <c r="K38" s="6" t="s">
        <v>494</v>
      </c>
      <c r="L38" s="6" t="s">
        <v>495</v>
      </c>
      <c r="M38" s="6" t="s">
        <v>48</v>
      </c>
      <c r="N38" s="6" t="s">
        <v>496</v>
      </c>
      <c r="O38" s="6">
        <v>3</v>
      </c>
      <c r="P38" s="6" t="s">
        <v>497</v>
      </c>
    </row>
    <row r="39" spans="1:16" ht="42.65" customHeight="1">
      <c r="A39" s="4" t="s">
        <v>498</v>
      </c>
      <c r="B39" s="4" t="s">
        <v>499</v>
      </c>
      <c r="C39" s="4" t="s">
        <v>500</v>
      </c>
      <c r="D39" s="4" t="s">
        <v>501</v>
      </c>
      <c r="E39" s="4" t="s">
        <v>502</v>
      </c>
      <c r="F39" s="4" t="s">
        <v>225</v>
      </c>
      <c r="G39" s="4" t="s">
        <v>503</v>
      </c>
      <c r="H39" s="4" t="s">
        <v>504</v>
      </c>
      <c r="I39" s="4" t="s">
        <v>505</v>
      </c>
      <c r="J39" s="4" t="s">
        <v>506</v>
      </c>
      <c r="K39" s="4" t="s">
        <v>507</v>
      </c>
      <c r="L39" s="4" t="s">
        <v>508</v>
      </c>
      <c r="M39" s="4" t="s">
        <v>48</v>
      </c>
      <c r="N39" s="4" t="s">
        <v>509</v>
      </c>
      <c r="O39" s="4">
        <v>1</v>
      </c>
      <c r="P39" s="4"/>
    </row>
    <row r="40" spans="1:16" ht="42.65" customHeight="1">
      <c r="A40" s="5" t="s">
        <v>510</v>
      </c>
      <c r="B40" s="5" t="s">
        <v>511</v>
      </c>
      <c r="C40" s="5" t="s">
        <v>512</v>
      </c>
      <c r="D40" s="5" t="s">
        <v>513</v>
      </c>
      <c r="E40" s="5" t="s">
        <v>372</v>
      </c>
      <c r="F40" s="5" t="s">
        <v>514</v>
      </c>
      <c r="G40" s="5" t="s">
        <v>515</v>
      </c>
      <c r="H40" s="5" t="s">
        <v>516</v>
      </c>
      <c r="I40" s="5" t="s">
        <v>517</v>
      </c>
      <c r="J40" s="5" t="s">
        <v>518</v>
      </c>
      <c r="K40" s="5" t="s">
        <v>519</v>
      </c>
      <c r="L40" s="5" t="s">
        <v>520</v>
      </c>
      <c r="M40" s="5" t="s">
        <v>48</v>
      </c>
      <c r="N40" s="5" t="s">
        <v>521</v>
      </c>
      <c r="O40" s="5">
        <v>2</v>
      </c>
      <c r="P40" s="5"/>
    </row>
    <row r="41" spans="1:16" ht="42.65" customHeight="1">
      <c r="A41" s="4" t="s">
        <v>522</v>
      </c>
      <c r="B41" s="4" t="s">
        <v>511</v>
      </c>
      <c r="C41" s="4" t="s">
        <v>523</v>
      </c>
      <c r="D41" s="4" t="s">
        <v>524</v>
      </c>
      <c r="E41" s="4" t="s">
        <v>525</v>
      </c>
      <c r="F41" s="4" t="s">
        <v>360</v>
      </c>
      <c r="G41" s="4" t="s">
        <v>526</v>
      </c>
      <c r="H41" s="4" t="s">
        <v>527</v>
      </c>
      <c r="I41" s="4" t="s">
        <v>528</v>
      </c>
      <c r="J41" s="4" t="s">
        <v>529</v>
      </c>
      <c r="K41" s="4" t="s">
        <v>530</v>
      </c>
      <c r="L41" s="4" t="s">
        <v>531</v>
      </c>
      <c r="M41" s="4" t="s">
        <v>48</v>
      </c>
      <c r="N41" s="4" t="s">
        <v>532</v>
      </c>
      <c r="O41" s="4">
        <v>1</v>
      </c>
      <c r="P41" s="4"/>
    </row>
    <row r="42" spans="1:16" ht="42.65" customHeight="1">
      <c r="A42" s="4" t="s">
        <v>533</v>
      </c>
      <c r="B42" s="4" t="s">
        <v>534</v>
      </c>
      <c r="C42" s="4" t="s">
        <v>535</v>
      </c>
      <c r="D42" s="4" t="s">
        <v>536</v>
      </c>
      <c r="E42" s="4" t="s">
        <v>537</v>
      </c>
      <c r="F42" s="4" t="s">
        <v>538</v>
      </c>
      <c r="G42" s="4" t="s">
        <v>539</v>
      </c>
      <c r="H42" s="4" t="s">
        <v>540</v>
      </c>
      <c r="I42" s="4" t="s">
        <v>541</v>
      </c>
      <c r="J42" s="4" t="s">
        <v>542</v>
      </c>
      <c r="K42" s="4" t="s">
        <v>543</v>
      </c>
      <c r="L42" s="4" t="s">
        <v>544</v>
      </c>
      <c r="M42" s="4" t="s">
        <v>48</v>
      </c>
      <c r="N42" s="4" t="s">
        <v>545</v>
      </c>
      <c r="O42" s="4">
        <v>1</v>
      </c>
      <c r="P42" s="4"/>
    </row>
    <row r="43" spans="1:16" ht="42.65" customHeight="1">
      <c r="A43" s="4" t="s">
        <v>546</v>
      </c>
      <c r="B43" s="4" t="s">
        <v>547</v>
      </c>
      <c r="C43" s="4" t="s">
        <v>548</v>
      </c>
      <c r="D43" s="4" t="s">
        <v>549</v>
      </c>
      <c r="E43" s="4" t="s">
        <v>550</v>
      </c>
      <c r="F43" s="4" t="s">
        <v>239</v>
      </c>
      <c r="G43" s="4" t="s">
        <v>551</v>
      </c>
      <c r="H43" s="4" t="s">
        <v>552</v>
      </c>
      <c r="I43" s="4" t="s">
        <v>553</v>
      </c>
      <c r="J43" s="4" t="s">
        <v>554</v>
      </c>
      <c r="K43" s="4" t="s">
        <v>555</v>
      </c>
      <c r="L43" s="4" t="s">
        <v>556</v>
      </c>
      <c r="M43" s="4" t="s">
        <v>48</v>
      </c>
      <c r="N43" s="4" t="s">
        <v>557</v>
      </c>
      <c r="O43" s="4">
        <v>1</v>
      </c>
      <c r="P43" s="4"/>
    </row>
    <row r="44" spans="1:16" ht="42.65" customHeight="1">
      <c r="A44" s="4" t="s">
        <v>558</v>
      </c>
      <c r="B44" s="4" t="s">
        <v>534</v>
      </c>
      <c r="C44" s="4" t="s">
        <v>559</v>
      </c>
      <c r="D44" s="4" t="s">
        <v>560</v>
      </c>
      <c r="E44" s="4" t="s">
        <v>550</v>
      </c>
      <c r="F44" s="4" t="s">
        <v>561</v>
      </c>
      <c r="G44" s="4" t="s">
        <v>562</v>
      </c>
      <c r="H44" s="4" t="s">
        <v>563</v>
      </c>
      <c r="I44" s="4" t="s">
        <v>564</v>
      </c>
      <c r="J44" s="4" t="s">
        <v>565</v>
      </c>
      <c r="K44" s="4" t="s">
        <v>566</v>
      </c>
      <c r="L44" s="4" t="s">
        <v>567</v>
      </c>
      <c r="M44" s="4" t="s">
        <v>48</v>
      </c>
      <c r="N44" s="4" t="s">
        <v>568</v>
      </c>
      <c r="O44" s="4">
        <v>1</v>
      </c>
      <c r="P44" s="4"/>
    </row>
    <row r="45" spans="1:16" ht="42.65" customHeight="1">
      <c r="A45" s="4" t="s">
        <v>569</v>
      </c>
      <c r="B45" s="4" t="s">
        <v>570</v>
      </c>
      <c r="C45" s="4" t="s">
        <v>571</v>
      </c>
      <c r="D45" s="4" t="s">
        <v>572</v>
      </c>
      <c r="E45" s="4" t="s">
        <v>573</v>
      </c>
      <c r="F45" s="4" t="s">
        <v>574</v>
      </c>
      <c r="G45" s="4" t="s">
        <v>575</v>
      </c>
      <c r="H45" s="4" t="s">
        <v>576</v>
      </c>
      <c r="I45" s="4" t="s">
        <v>577</v>
      </c>
      <c r="J45" s="4" t="s">
        <v>578</v>
      </c>
      <c r="K45" s="4" t="s">
        <v>579</v>
      </c>
      <c r="L45" s="4" t="s">
        <v>580</v>
      </c>
      <c r="M45" s="4" t="s">
        <v>581</v>
      </c>
      <c r="N45" s="4" t="s">
        <v>582</v>
      </c>
      <c r="O45" s="4">
        <v>1</v>
      </c>
      <c r="P45" s="4"/>
    </row>
    <row r="46" spans="1:16" ht="42.65" customHeight="1">
      <c r="A46" s="4" t="s">
        <v>583</v>
      </c>
      <c r="B46" s="4" t="s">
        <v>584</v>
      </c>
      <c r="C46" s="4" t="s">
        <v>585</v>
      </c>
      <c r="D46" s="4" t="s">
        <v>586</v>
      </c>
      <c r="E46" s="4" t="s">
        <v>252</v>
      </c>
      <c r="F46" s="4" t="s">
        <v>587</v>
      </c>
      <c r="G46" s="4" t="s">
        <v>588</v>
      </c>
      <c r="H46" s="4" t="s">
        <v>589</v>
      </c>
      <c r="I46" s="4" t="s">
        <v>590</v>
      </c>
      <c r="J46" s="4" t="s">
        <v>591</v>
      </c>
      <c r="K46" s="4" t="s">
        <v>592</v>
      </c>
      <c r="L46" s="4" t="s">
        <v>593</v>
      </c>
      <c r="M46" s="4" t="s">
        <v>581</v>
      </c>
      <c r="N46" s="4" t="s">
        <v>594</v>
      </c>
      <c r="O46" s="4">
        <v>1</v>
      </c>
      <c r="P46" s="4"/>
    </row>
    <row r="47" spans="1:16" ht="42.65" customHeight="1">
      <c r="A47" s="4" t="s">
        <v>595</v>
      </c>
      <c r="B47" s="4" t="s">
        <v>596</v>
      </c>
      <c r="C47" s="4" t="s">
        <v>597</v>
      </c>
      <c r="D47" s="4" t="s">
        <v>598</v>
      </c>
      <c r="E47" s="4" t="s">
        <v>599</v>
      </c>
      <c r="F47" s="4" t="s">
        <v>600</v>
      </c>
      <c r="G47" s="4" t="s">
        <v>601</v>
      </c>
      <c r="H47" s="4" t="s">
        <v>602</v>
      </c>
      <c r="I47" s="4" t="s">
        <v>603</v>
      </c>
      <c r="J47" s="4" t="s">
        <v>604</v>
      </c>
      <c r="K47" s="4" t="s">
        <v>605</v>
      </c>
      <c r="L47" s="4" t="s">
        <v>606</v>
      </c>
      <c r="M47" s="4" t="s">
        <v>581</v>
      </c>
      <c r="N47" s="4" t="s">
        <v>607</v>
      </c>
      <c r="O47" s="4">
        <v>1</v>
      </c>
      <c r="P47" s="4"/>
    </row>
    <row r="48" spans="1:16" ht="42.65" customHeight="1">
      <c r="A48" s="4" t="s">
        <v>608</v>
      </c>
      <c r="B48" s="4" t="s">
        <v>609</v>
      </c>
      <c r="C48" s="4" t="s">
        <v>610</v>
      </c>
      <c r="D48" s="4" t="s">
        <v>611</v>
      </c>
      <c r="E48" s="4" t="s">
        <v>612</v>
      </c>
      <c r="F48" s="4" t="s">
        <v>613</v>
      </c>
      <c r="G48" s="4" t="s">
        <v>614</v>
      </c>
      <c r="H48" s="4" t="s">
        <v>615</v>
      </c>
      <c r="I48" s="4" t="s">
        <v>616</v>
      </c>
      <c r="J48" s="4" t="s">
        <v>617</v>
      </c>
      <c r="K48" s="4" t="s">
        <v>618</v>
      </c>
      <c r="L48" s="4" t="s">
        <v>619</v>
      </c>
      <c r="M48" s="4" t="s">
        <v>581</v>
      </c>
      <c r="N48" s="4" t="s">
        <v>620</v>
      </c>
      <c r="O48" s="4">
        <v>1</v>
      </c>
      <c r="P48" s="4"/>
    </row>
    <row r="49" spans="1:16" ht="42.65" customHeight="1">
      <c r="A49" s="4" t="s">
        <v>621</v>
      </c>
      <c r="B49" s="4" t="s">
        <v>622</v>
      </c>
      <c r="C49" s="4" t="s">
        <v>623</v>
      </c>
      <c r="D49" s="4" t="s">
        <v>624</v>
      </c>
      <c r="E49" s="4" t="s">
        <v>252</v>
      </c>
      <c r="F49" s="4" t="s">
        <v>587</v>
      </c>
      <c r="G49" s="4" t="s">
        <v>588</v>
      </c>
      <c r="H49" s="4" t="s">
        <v>625</v>
      </c>
      <c r="I49" s="4" t="s">
        <v>626</v>
      </c>
      <c r="J49" s="4" t="s">
        <v>627</v>
      </c>
      <c r="K49" s="4" t="s">
        <v>628</v>
      </c>
      <c r="L49" s="4" t="s">
        <v>629</v>
      </c>
      <c r="M49" s="4" t="s">
        <v>581</v>
      </c>
      <c r="N49" s="4" t="s">
        <v>630</v>
      </c>
      <c r="O49" s="4">
        <v>1</v>
      </c>
      <c r="P49" s="4"/>
    </row>
    <row r="50" spans="1:16" ht="42.65" customHeight="1">
      <c r="A50" s="4" t="s">
        <v>631</v>
      </c>
      <c r="B50" s="4" t="s">
        <v>632</v>
      </c>
      <c r="C50" s="4" t="s">
        <v>633</v>
      </c>
      <c r="D50" s="4" t="s">
        <v>634</v>
      </c>
      <c r="E50" s="4" t="s">
        <v>635</v>
      </c>
      <c r="F50" s="4" t="s">
        <v>636</v>
      </c>
      <c r="G50" s="4" t="s">
        <v>637</v>
      </c>
      <c r="H50" s="4" t="s">
        <v>638</v>
      </c>
      <c r="I50" s="4" t="s">
        <v>639</v>
      </c>
      <c r="J50" s="4" t="s">
        <v>640</v>
      </c>
      <c r="K50" s="4" t="s">
        <v>641</v>
      </c>
      <c r="L50" s="4" t="s">
        <v>642</v>
      </c>
      <c r="M50" s="4" t="s">
        <v>104</v>
      </c>
      <c r="N50" s="4" t="s">
        <v>643</v>
      </c>
      <c r="O50" s="4">
        <v>1</v>
      </c>
      <c r="P50" s="4"/>
    </row>
    <row r="51" spans="1:16" ht="42.65" customHeight="1">
      <c r="A51" s="4" t="s">
        <v>644</v>
      </c>
      <c r="B51" s="4" t="s">
        <v>645</v>
      </c>
      <c r="C51" s="4" t="s">
        <v>646</v>
      </c>
      <c r="D51" s="4" t="s">
        <v>647</v>
      </c>
      <c r="E51" s="4" t="s">
        <v>252</v>
      </c>
      <c r="F51" s="4" t="s">
        <v>373</v>
      </c>
      <c r="G51" s="4" t="s">
        <v>648</v>
      </c>
      <c r="H51" s="4" t="s">
        <v>649</v>
      </c>
      <c r="I51" s="4" t="s">
        <v>650</v>
      </c>
      <c r="J51" s="4" t="s">
        <v>651</v>
      </c>
      <c r="K51" s="4" t="s">
        <v>652</v>
      </c>
      <c r="L51" s="4" t="s">
        <v>653</v>
      </c>
      <c r="M51" s="4" t="s">
        <v>581</v>
      </c>
      <c r="N51" s="4" t="s">
        <v>654</v>
      </c>
      <c r="O51" s="4">
        <v>1</v>
      </c>
      <c r="P51" s="4"/>
    </row>
    <row r="52" spans="1:16" ht="42.65" customHeight="1">
      <c r="A52" s="4" t="s">
        <v>655</v>
      </c>
      <c r="B52" s="4" t="s">
        <v>656</v>
      </c>
      <c r="C52" s="4" t="s">
        <v>657</v>
      </c>
      <c r="D52" s="4" t="s">
        <v>658</v>
      </c>
      <c r="E52" s="4" t="s">
        <v>659</v>
      </c>
      <c r="F52" s="4" t="s">
        <v>613</v>
      </c>
      <c r="G52" s="4" t="s">
        <v>660</v>
      </c>
      <c r="H52" s="4" t="s">
        <v>661</v>
      </c>
      <c r="I52" s="4" t="s">
        <v>662</v>
      </c>
      <c r="J52" s="4" t="s">
        <v>663</v>
      </c>
      <c r="K52" s="4" t="s">
        <v>664</v>
      </c>
      <c r="L52" s="4" t="s">
        <v>665</v>
      </c>
      <c r="M52" s="4" t="s">
        <v>581</v>
      </c>
      <c r="N52" s="4" t="s">
        <v>666</v>
      </c>
      <c r="O52" s="4">
        <v>1</v>
      </c>
      <c r="P52" s="4"/>
    </row>
    <row r="53" spans="1:16" ht="42.65" customHeight="1">
      <c r="A53" s="4" t="s">
        <v>667</v>
      </c>
      <c r="B53" s="4" t="s">
        <v>668</v>
      </c>
      <c r="C53" s="4" t="s">
        <v>669</v>
      </c>
      <c r="D53" s="4" t="s">
        <v>670</v>
      </c>
      <c r="E53" s="4" t="s">
        <v>671</v>
      </c>
      <c r="F53" s="4" t="s">
        <v>672</v>
      </c>
      <c r="G53" s="4" t="s">
        <v>673</v>
      </c>
      <c r="H53" s="4" t="s">
        <v>674</v>
      </c>
      <c r="I53" s="4" t="s">
        <v>675</v>
      </c>
      <c r="J53" s="4" t="s">
        <v>676</v>
      </c>
      <c r="K53" s="4" t="s">
        <v>677</v>
      </c>
      <c r="L53" s="4" t="s">
        <v>678</v>
      </c>
      <c r="M53" s="4" t="s">
        <v>48</v>
      </c>
      <c r="N53" s="4" t="s">
        <v>679</v>
      </c>
      <c r="O53" s="4">
        <v>1</v>
      </c>
      <c r="P53" s="4"/>
    </row>
    <row r="54" spans="1:16" ht="42.65" customHeight="1">
      <c r="A54" s="4" t="s">
        <v>680</v>
      </c>
      <c r="B54" s="4" t="s">
        <v>681</v>
      </c>
      <c r="C54" s="4" t="s">
        <v>682</v>
      </c>
      <c r="D54" s="4" t="s">
        <v>683</v>
      </c>
      <c r="E54" s="4" t="s">
        <v>684</v>
      </c>
      <c r="F54" s="4" t="s">
        <v>685</v>
      </c>
      <c r="G54" s="4" t="s">
        <v>686</v>
      </c>
      <c r="H54" s="4" t="s">
        <v>687</v>
      </c>
      <c r="I54" s="4" t="s">
        <v>688</v>
      </c>
      <c r="J54" s="4" t="s">
        <v>689</v>
      </c>
      <c r="K54" s="4" t="s">
        <v>690</v>
      </c>
      <c r="L54" s="4" t="s">
        <v>691</v>
      </c>
      <c r="M54" s="4" t="s">
        <v>581</v>
      </c>
      <c r="N54" s="4" t="s">
        <v>692</v>
      </c>
      <c r="O54" s="4">
        <v>1</v>
      </c>
      <c r="P54" s="4"/>
    </row>
    <row r="55" spans="1:16" ht="42.65" customHeight="1">
      <c r="A55" s="4" t="s">
        <v>693</v>
      </c>
      <c r="B55" s="4" t="s">
        <v>681</v>
      </c>
      <c r="C55" s="4" t="s">
        <v>694</v>
      </c>
      <c r="D55" s="4" t="s">
        <v>695</v>
      </c>
      <c r="E55" s="4" t="s">
        <v>175</v>
      </c>
      <c r="F55" s="4" t="s">
        <v>696</v>
      </c>
      <c r="G55" s="4" t="s">
        <v>697</v>
      </c>
      <c r="H55" s="4" t="s">
        <v>698</v>
      </c>
      <c r="I55" s="4" t="s">
        <v>699</v>
      </c>
      <c r="J55" s="4" t="s">
        <v>700</v>
      </c>
      <c r="K55" s="4" t="s">
        <v>701</v>
      </c>
      <c r="L55" s="4" t="s">
        <v>702</v>
      </c>
      <c r="M55" s="4" t="s">
        <v>581</v>
      </c>
      <c r="N55" s="4" t="s">
        <v>703</v>
      </c>
      <c r="O55" s="4">
        <v>1</v>
      </c>
      <c r="P55" s="4"/>
    </row>
    <row r="56" spans="1:16" ht="42.65" customHeight="1">
      <c r="A56" s="4" t="s">
        <v>704</v>
      </c>
      <c r="B56" s="4" t="s">
        <v>705</v>
      </c>
      <c r="C56" s="4" t="s">
        <v>706</v>
      </c>
      <c r="D56" s="4" t="s">
        <v>707</v>
      </c>
      <c r="E56" s="4" t="s">
        <v>708</v>
      </c>
      <c r="F56" s="4" t="s">
        <v>709</v>
      </c>
      <c r="G56" s="4" t="s">
        <v>710</v>
      </c>
      <c r="H56" s="4" t="s">
        <v>711</v>
      </c>
      <c r="I56" s="4" t="s">
        <v>712</v>
      </c>
      <c r="J56" s="4" t="s">
        <v>713</v>
      </c>
      <c r="K56" s="4" t="s">
        <v>714</v>
      </c>
      <c r="L56" s="4" t="s">
        <v>715</v>
      </c>
      <c r="M56" s="4" t="s">
        <v>581</v>
      </c>
      <c r="N56" s="4" t="s">
        <v>716</v>
      </c>
      <c r="O56" s="4">
        <v>1</v>
      </c>
      <c r="P56" s="4"/>
    </row>
    <row r="57" spans="1:16" ht="42.65" customHeight="1">
      <c r="A57" s="4" t="s">
        <v>717</v>
      </c>
      <c r="B57" s="4" t="s">
        <v>718</v>
      </c>
      <c r="C57" s="4" t="s">
        <v>719</v>
      </c>
      <c r="D57" s="4" t="s">
        <v>720</v>
      </c>
      <c r="E57" s="4" t="s">
        <v>721</v>
      </c>
      <c r="F57" s="4" t="s">
        <v>613</v>
      </c>
      <c r="G57" s="4" t="s">
        <v>479</v>
      </c>
      <c r="H57" s="4" t="s">
        <v>722</v>
      </c>
      <c r="I57" s="4" t="s">
        <v>723</v>
      </c>
      <c r="J57" s="4" t="s">
        <v>724</v>
      </c>
      <c r="K57" s="4" t="s">
        <v>725</v>
      </c>
      <c r="L57" s="4" t="s">
        <v>726</v>
      </c>
      <c r="M57" s="4" t="s">
        <v>48</v>
      </c>
      <c r="N57" s="4" t="s">
        <v>727</v>
      </c>
      <c r="O57" s="4">
        <v>1</v>
      </c>
      <c r="P57" s="4"/>
    </row>
    <row r="58" spans="1:16" ht="42.65" customHeight="1">
      <c r="A58" s="4" t="s">
        <v>728</v>
      </c>
      <c r="B58" s="4" t="s">
        <v>729</v>
      </c>
      <c r="C58" s="4" t="s">
        <v>730</v>
      </c>
      <c r="D58" s="4" t="s">
        <v>731</v>
      </c>
      <c r="E58" s="4" t="s">
        <v>359</v>
      </c>
      <c r="F58" s="4" t="s">
        <v>732</v>
      </c>
      <c r="G58" s="4" t="s">
        <v>733</v>
      </c>
      <c r="H58" s="4" t="s">
        <v>734</v>
      </c>
      <c r="I58" s="4" t="s">
        <v>735</v>
      </c>
      <c r="J58" s="4" t="s">
        <v>736</v>
      </c>
      <c r="K58" s="4" t="s">
        <v>737</v>
      </c>
      <c r="L58" s="4" t="s">
        <v>738</v>
      </c>
      <c r="M58" s="4" t="s">
        <v>581</v>
      </c>
      <c r="N58" s="4" t="s">
        <v>739</v>
      </c>
      <c r="O58" s="4">
        <v>1</v>
      </c>
      <c r="P58" s="4"/>
    </row>
    <row r="59" spans="1:16" ht="42.65" customHeight="1">
      <c r="A59" s="4" t="s">
        <v>740</v>
      </c>
      <c r="B59" s="4" t="s">
        <v>741</v>
      </c>
      <c r="C59" s="4" t="s">
        <v>742</v>
      </c>
      <c r="D59" s="4" t="s">
        <v>743</v>
      </c>
      <c r="E59" s="4" t="s">
        <v>659</v>
      </c>
      <c r="F59" s="4" t="s">
        <v>744</v>
      </c>
      <c r="G59" s="4" t="s">
        <v>745</v>
      </c>
      <c r="H59" s="4" t="s">
        <v>746</v>
      </c>
      <c r="I59" s="4" t="s">
        <v>747</v>
      </c>
      <c r="J59" s="4" t="s">
        <v>748</v>
      </c>
      <c r="K59" s="4" t="s">
        <v>749</v>
      </c>
      <c r="L59" s="4" t="s">
        <v>750</v>
      </c>
      <c r="M59" s="4" t="s">
        <v>581</v>
      </c>
      <c r="N59" s="4" t="s">
        <v>751</v>
      </c>
      <c r="O59" s="4">
        <v>1</v>
      </c>
      <c r="P59" s="4"/>
    </row>
    <row r="60" spans="1:16" ht="42.65" customHeight="1">
      <c r="A60" s="4" t="s">
        <v>752</v>
      </c>
      <c r="B60" s="4" t="s">
        <v>753</v>
      </c>
      <c r="C60" s="4" t="s">
        <v>754</v>
      </c>
      <c r="D60" s="4" t="s">
        <v>755</v>
      </c>
      <c r="E60" s="4" t="s">
        <v>756</v>
      </c>
      <c r="F60" s="4" t="s">
        <v>757</v>
      </c>
      <c r="G60" s="4" t="s">
        <v>758</v>
      </c>
      <c r="H60" s="4" t="s">
        <v>759</v>
      </c>
      <c r="I60" s="4" t="s">
        <v>760</v>
      </c>
      <c r="J60" s="4" t="s">
        <v>761</v>
      </c>
      <c r="K60" s="4" t="s">
        <v>762</v>
      </c>
      <c r="L60" s="4" t="s">
        <v>763</v>
      </c>
      <c r="M60" s="4" t="s">
        <v>48</v>
      </c>
      <c r="N60" s="4" t="s">
        <v>764</v>
      </c>
      <c r="O60" s="4">
        <v>1</v>
      </c>
      <c r="P60" s="4" t="s">
        <v>765</v>
      </c>
    </row>
    <row r="61" spans="1:16" ht="42.65" customHeight="1">
      <c r="A61" s="4" t="s">
        <v>766</v>
      </c>
      <c r="B61" s="4" t="s">
        <v>753</v>
      </c>
      <c r="C61" s="4" t="s">
        <v>767</v>
      </c>
      <c r="D61" s="4" t="s">
        <v>768</v>
      </c>
      <c r="E61" s="4" t="s">
        <v>612</v>
      </c>
      <c r="F61" s="4" t="s">
        <v>587</v>
      </c>
      <c r="G61" s="4" t="s">
        <v>769</v>
      </c>
      <c r="H61" s="4" t="s">
        <v>770</v>
      </c>
      <c r="I61" s="4" t="s">
        <v>771</v>
      </c>
      <c r="J61" s="4" t="s">
        <v>772</v>
      </c>
      <c r="K61" s="4" t="s">
        <v>773</v>
      </c>
      <c r="L61" s="4" t="s">
        <v>774</v>
      </c>
      <c r="M61" s="4" t="s">
        <v>48</v>
      </c>
      <c r="N61" s="4" t="s">
        <v>775</v>
      </c>
      <c r="O61" s="4">
        <v>1</v>
      </c>
      <c r="P61" s="4"/>
    </row>
    <row r="62" spans="1:16" ht="42.65" customHeight="1">
      <c r="A62" s="6" t="s">
        <v>776</v>
      </c>
      <c r="B62" s="6" t="s">
        <v>777</v>
      </c>
      <c r="C62" s="6" t="s">
        <v>778</v>
      </c>
      <c r="D62" s="6" t="s">
        <v>779</v>
      </c>
      <c r="E62" s="6" t="s">
        <v>780</v>
      </c>
      <c r="F62" s="6" t="s">
        <v>613</v>
      </c>
      <c r="G62" s="6" t="s">
        <v>781</v>
      </c>
      <c r="H62" s="6" t="s">
        <v>782</v>
      </c>
      <c r="I62" s="6" t="s">
        <v>783</v>
      </c>
      <c r="J62" s="6" t="s">
        <v>784</v>
      </c>
      <c r="K62" s="6" t="s">
        <v>785</v>
      </c>
      <c r="L62" s="6" t="s">
        <v>786</v>
      </c>
      <c r="M62" s="6" t="s">
        <v>104</v>
      </c>
      <c r="N62" s="6" t="s">
        <v>787</v>
      </c>
      <c r="O62" s="6">
        <v>3</v>
      </c>
      <c r="P62" s="6"/>
    </row>
    <row r="63" spans="1:16" ht="42.65" customHeight="1">
      <c r="A63" s="4" t="s">
        <v>788</v>
      </c>
      <c r="B63" s="4" t="s">
        <v>789</v>
      </c>
      <c r="C63" s="4" t="s">
        <v>790</v>
      </c>
      <c r="D63" s="4" t="s">
        <v>791</v>
      </c>
      <c r="E63" s="4" t="s">
        <v>792</v>
      </c>
      <c r="F63" s="4" t="s">
        <v>732</v>
      </c>
      <c r="G63" s="4" t="s">
        <v>793</v>
      </c>
      <c r="H63" s="4" t="s">
        <v>794</v>
      </c>
      <c r="I63" s="4" t="s">
        <v>795</v>
      </c>
      <c r="J63" s="4" t="s">
        <v>796</v>
      </c>
      <c r="K63" s="4" t="s">
        <v>797</v>
      </c>
      <c r="L63" s="4" t="s">
        <v>798</v>
      </c>
      <c r="M63" s="4" t="s">
        <v>48</v>
      </c>
      <c r="N63" s="4" t="s">
        <v>799</v>
      </c>
      <c r="O63" s="4">
        <v>1</v>
      </c>
      <c r="P63" s="4"/>
    </row>
    <row r="64" spans="1:16" ht="42.65" customHeight="1">
      <c r="A64" s="4" t="s">
        <v>800</v>
      </c>
      <c r="B64" s="4" t="s">
        <v>801</v>
      </c>
      <c r="C64" s="4" t="s">
        <v>802</v>
      </c>
      <c r="D64" s="4" t="s">
        <v>803</v>
      </c>
      <c r="E64" s="4" t="s">
        <v>804</v>
      </c>
      <c r="F64" s="4" t="s">
        <v>744</v>
      </c>
      <c r="G64" s="4" t="s">
        <v>805</v>
      </c>
      <c r="H64" s="4" t="s">
        <v>806</v>
      </c>
      <c r="I64" s="4" t="s">
        <v>807</v>
      </c>
      <c r="J64" s="4" t="s">
        <v>808</v>
      </c>
      <c r="K64" s="4" t="s">
        <v>809</v>
      </c>
      <c r="L64" s="4" t="s">
        <v>810</v>
      </c>
      <c r="M64" s="4" t="s">
        <v>581</v>
      </c>
      <c r="N64" s="4" t="s">
        <v>811</v>
      </c>
      <c r="O64" s="4">
        <v>1</v>
      </c>
      <c r="P64" s="4"/>
    </row>
    <row r="65" spans="1:16" ht="42.65" customHeight="1">
      <c r="A65" s="5" t="s">
        <v>812</v>
      </c>
      <c r="B65" s="5" t="s">
        <v>813</v>
      </c>
      <c r="C65" s="5" t="s">
        <v>814</v>
      </c>
      <c r="D65" s="5" t="s">
        <v>815</v>
      </c>
      <c r="E65" s="5" t="s">
        <v>359</v>
      </c>
      <c r="F65" s="5" t="s">
        <v>816</v>
      </c>
      <c r="G65" s="5" t="s">
        <v>817</v>
      </c>
      <c r="H65" s="5" t="s">
        <v>818</v>
      </c>
      <c r="I65" s="5" t="s">
        <v>819</v>
      </c>
      <c r="J65" s="5" t="s">
        <v>820</v>
      </c>
      <c r="K65" s="5" t="s">
        <v>821</v>
      </c>
      <c r="L65" s="5" t="s">
        <v>822</v>
      </c>
      <c r="M65" s="5" t="s">
        <v>581</v>
      </c>
      <c r="N65" s="5" t="s">
        <v>823</v>
      </c>
      <c r="O65" s="5">
        <v>2</v>
      </c>
      <c r="P65" s="5"/>
    </row>
    <row r="66" spans="1:16" ht="42.65" customHeight="1">
      <c r="A66" s="4" t="s">
        <v>824</v>
      </c>
      <c r="B66" s="4" t="s">
        <v>825</v>
      </c>
      <c r="C66" s="4" t="s">
        <v>826</v>
      </c>
      <c r="D66" s="4" t="s">
        <v>827</v>
      </c>
      <c r="E66" s="4" t="s">
        <v>828</v>
      </c>
      <c r="F66" s="4" t="s">
        <v>829</v>
      </c>
      <c r="G66" s="4" t="s">
        <v>830</v>
      </c>
      <c r="H66" s="4" t="s">
        <v>831</v>
      </c>
      <c r="I66" s="4" t="s">
        <v>832</v>
      </c>
      <c r="J66" s="4" t="s">
        <v>833</v>
      </c>
      <c r="K66" s="4" t="s">
        <v>834</v>
      </c>
      <c r="L66" s="4" t="s">
        <v>835</v>
      </c>
      <c r="M66" s="4" t="s">
        <v>581</v>
      </c>
      <c r="N66" s="4" t="s">
        <v>836</v>
      </c>
      <c r="O66" s="4">
        <v>1</v>
      </c>
      <c r="P66" s="4"/>
    </row>
    <row r="67" spans="1:16" ht="42.65" customHeight="1">
      <c r="A67" s="4" t="s">
        <v>837</v>
      </c>
      <c r="B67" s="4" t="s">
        <v>838</v>
      </c>
      <c r="C67" s="4" t="s">
        <v>839</v>
      </c>
      <c r="D67" s="4" t="s">
        <v>840</v>
      </c>
      <c r="E67" s="4" t="s">
        <v>841</v>
      </c>
      <c r="F67" s="4" t="s">
        <v>842</v>
      </c>
      <c r="G67" s="4" t="s">
        <v>843</v>
      </c>
      <c r="H67" s="4" t="s">
        <v>844</v>
      </c>
      <c r="I67" s="4" t="s">
        <v>845</v>
      </c>
      <c r="J67" s="4" t="s">
        <v>846</v>
      </c>
      <c r="K67" s="4" t="s">
        <v>847</v>
      </c>
      <c r="L67" s="4" t="s">
        <v>848</v>
      </c>
      <c r="M67" s="4" t="s">
        <v>581</v>
      </c>
      <c r="N67" s="4" t="s">
        <v>849</v>
      </c>
      <c r="O67" s="4">
        <v>1</v>
      </c>
      <c r="P67" s="4"/>
    </row>
    <row r="68" spans="1:16" ht="42.65" customHeight="1">
      <c r="A68" s="4" t="s">
        <v>850</v>
      </c>
      <c r="B68" s="4" t="s">
        <v>851</v>
      </c>
      <c r="C68" s="4" t="s">
        <v>852</v>
      </c>
      <c r="D68" s="4" t="s">
        <v>853</v>
      </c>
      <c r="E68" s="4" t="s">
        <v>854</v>
      </c>
      <c r="F68" s="4" t="s">
        <v>855</v>
      </c>
      <c r="G68" s="4" t="s">
        <v>856</v>
      </c>
      <c r="H68" s="4" t="s">
        <v>857</v>
      </c>
      <c r="I68" s="4" t="s">
        <v>858</v>
      </c>
      <c r="J68" s="4" t="s">
        <v>859</v>
      </c>
      <c r="K68" s="4" t="s">
        <v>860</v>
      </c>
      <c r="L68" s="4" t="s">
        <v>861</v>
      </c>
      <c r="M68" s="4" t="s">
        <v>581</v>
      </c>
      <c r="N68" s="4" t="s">
        <v>862</v>
      </c>
      <c r="O68" s="4">
        <v>1</v>
      </c>
      <c r="P68" s="4"/>
    </row>
    <row r="69" spans="1:16" ht="42.65" customHeight="1">
      <c r="A69" s="4" t="s">
        <v>863</v>
      </c>
      <c r="B69" s="4" t="s">
        <v>864</v>
      </c>
      <c r="C69" s="4" t="s">
        <v>865</v>
      </c>
      <c r="D69" s="4" t="s">
        <v>866</v>
      </c>
      <c r="E69" s="4" t="s">
        <v>612</v>
      </c>
      <c r="F69" s="4" t="s">
        <v>587</v>
      </c>
      <c r="G69" s="4" t="s">
        <v>867</v>
      </c>
      <c r="H69" s="4" t="s">
        <v>868</v>
      </c>
      <c r="I69" s="4" t="s">
        <v>869</v>
      </c>
      <c r="J69" s="4" t="s">
        <v>870</v>
      </c>
      <c r="K69" s="4" t="s">
        <v>871</v>
      </c>
      <c r="L69" s="4" t="s">
        <v>872</v>
      </c>
      <c r="M69" s="4" t="s">
        <v>581</v>
      </c>
      <c r="N69" s="4" t="s">
        <v>873</v>
      </c>
      <c r="O69" s="4">
        <v>1</v>
      </c>
      <c r="P69" s="4"/>
    </row>
    <row r="70" spans="1:16" ht="42.65" customHeight="1">
      <c r="A70" s="4" t="s">
        <v>874</v>
      </c>
      <c r="B70" s="4" t="s">
        <v>864</v>
      </c>
      <c r="C70" s="4" t="s">
        <v>875</v>
      </c>
      <c r="D70" s="4" t="s">
        <v>876</v>
      </c>
      <c r="E70" s="4" t="s">
        <v>612</v>
      </c>
      <c r="F70" s="4" t="s">
        <v>587</v>
      </c>
      <c r="G70" s="4" t="s">
        <v>877</v>
      </c>
      <c r="H70" s="4" t="s">
        <v>878</v>
      </c>
      <c r="I70" s="4" t="s">
        <v>879</v>
      </c>
      <c r="J70" s="4" t="s">
        <v>880</v>
      </c>
      <c r="K70" s="4" t="s">
        <v>881</v>
      </c>
      <c r="L70" s="4" t="s">
        <v>882</v>
      </c>
      <c r="M70" s="4" t="s">
        <v>581</v>
      </c>
      <c r="N70" s="4" t="s">
        <v>883</v>
      </c>
      <c r="O70" s="4">
        <v>1</v>
      </c>
      <c r="P70" s="4"/>
    </row>
    <row r="71" spans="1:16" ht="42.65" customHeight="1">
      <c r="A71" s="4" t="s">
        <v>884</v>
      </c>
      <c r="B71" s="4" t="s">
        <v>864</v>
      </c>
      <c r="C71" s="4" t="s">
        <v>885</v>
      </c>
      <c r="D71" s="4" t="s">
        <v>886</v>
      </c>
      <c r="E71" s="4" t="s">
        <v>887</v>
      </c>
      <c r="F71" s="4" t="s">
        <v>888</v>
      </c>
      <c r="G71" s="4" t="s">
        <v>889</v>
      </c>
      <c r="H71" s="4" t="s">
        <v>890</v>
      </c>
      <c r="I71" s="4" t="s">
        <v>891</v>
      </c>
      <c r="J71" s="4" t="s">
        <v>892</v>
      </c>
      <c r="K71" s="4" t="s">
        <v>893</v>
      </c>
      <c r="L71" s="4" t="s">
        <v>894</v>
      </c>
      <c r="M71" s="4" t="s">
        <v>581</v>
      </c>
      <c r="N71" s="4" t="s">
        <v>895</v>
      </c>
      <c r="O71" s="4">
        <v>1</v>
      </c>
      <c r="P71" s="4"/>
    </row>
    <row r="72" spans="1:16" ht="42.65" customHeight="1">
      <c r="A72" s="4" t="s">
        <v>896</v>
      </c>
      <c r="B72" s="4" t="s">
        <v>897</v>
      </c>
      <c r="C72" s="4" t="s">
        <v>898</v>
      </c>
      <c r="D72" s="4" t="s">
        <v>899</v>
      </c>
      <c r="E72" s="4" t="s">
        <v>359</v>
      </c>
      <c r="F72" s="4" t="s">
        <v>685</v>
      </c>
      <c r="G72" s="4" t="s">
        <v>686</v>
      </c>
      <c r="H72" s="4" t="s">
        <v>900</v>
      </c>
      <c r="I72" s="4" t="s">
        <v>901</v>
      </c>
      <c r="J72" s="4" t="s">
        <v>902</v>
      </c>
      <c r="K72" s="4" t="s">
        <v>903</v>
      </c>
      <c r="L72" s="4" t="s">
        <v>904</v>
      </c>
      <c r="M72" s="4" t="s">
        <v>48</v>
      </c>
      <c r="N72" s="4" t="s">
        <v>905</v>
      </c>
      <c r="O72" s="4">
        <v>1</v>
      </c>
      <c r="P72" s="4"/>
    </row>
    <row r="73" spans="1:16" ht="42.65" customHeight="1">
      <c r="A73" s="6" t="s">
        <v>906</v>
      </c>
      <c r="B73" s="6" t="s">
        <v>907</v>
      </c>
      <c r="C73" s="6" t="s">
        <v>908</v>
      </c>
      <c r="D73" s="6" t="s">
        <v>909</v>
      </c>
      <c r="E73" s="6" t="s">
        <v>910</v>
      </c>
      <c r="F73" s="6" t="s">
        <v>587</v>
      </c>
      <c r="G73" s="6" t="s">
        <v>911</v>
      </c>
      <c r="H73" s="6" t="s">
        <v>912</v>
      </c>
      <c r="I73" s="6" t="s">
        <v>913</v>
      </c>
      <c r="J73" s="6" t="s">
        <v>914</v>
      </c>
      <c r="K73" s="6" t="s">
        <v>915</v>
      </c>
      <c r="L73" s="6" t="s">
        <v>916</v>
      </c>
      <c r="M73" s="6" t="s">
        <v>581</v>
      </c>
      <c r="N73" s="6" t="s">
        <v>917</v>
      </c>
      <c r="O73" s="6">
        <v>3</v>
      </c>
      <c r="P73" s="6" t="s">
        <v>918</v>
      </c>
    </row>
    <row r="74" spans="1:16" ht="42.65" customHeight="1">
      <c r="A74" s="4" t="s">
        <v>919</v>
      </c>
      <c r="B74" s="4" t="s">
        <v>920</v>
      </c>
      <c r="C74" s="4" t="s">
        <v>921</v>
      </c>
      <c r="D74" s="4" t="s">
        <v>922</v>
      </c>
      <c r="E74" s="4" t="s">
        <v>923</v>
      </c>
      <c r="F74" s="4" t="s">
        <v>587</v>
      </c>
      <c r="G74" s="4" t="s">
        <v>924</v>
      </c>
      <c r="H74" s="4" t="s">
        <v>925</v>
      </c>
      <c r="I74" s="4" t="s">
        <v>926</v>
      </c>
      <c r="J74" s="4" t="s">
        <v>927</v>
      </c>
      <c r="K74" s="4" t="s">
        <v>928</v>
      </c>
      <c r="L74" s="4" t="s">
        <v>929</v>
      </c>
      <c r="M74" s="4" t="s">
        <v>581</v>
      </c>
      <c r="N74" s="4" t="s">
        <v>930</v>
      </c>
      <c r="O74" s="4">
        <v>1</v>
      </c>
      <c r="P74" s="4"/>
    </row>
    <row r="75" spans="1:16" ht="42.65" customHeight="1">
      <c r="A75" s="6" t="s">
        <v>931</v>
      </c>
      <c r="B75" s="6" t="s">
        <v>932</v>
      </c>
      <c r="C75" s="6" t="s">
        <v>933</v>
      </c>
      <c r="D75" s="6" t="s">
        <v>934</v>
      </c>
      <c r="E75" s="6" t="s">
        <v>935</v>
      </c>
      <c r="F75" s="6" t="s">
        <v>936</v>
      </c>
      <c r="G75" s="6" t="s">
        <v>937</v>
      </c>
      <c r="H75" s="6" t="s">
        <v>938</v>
      </c>
      <c r="I75" s="6" t="s">
        <v>939</v>
      </c>
      <c r="J75" s="6" t="s">
        <v>940</v>
      </c>
      <c r="K75" s="6" t="s">
        <v>941</v>
      </c>
      <c r="L75" s="6" t="s">
        <v>942</v>
      </c>
      <c r="M75" s="6" t="s">
        <v>581</v>
      </c>
      <c r="N75" s="6" t="s">
        <v>943</v>
      </c>
      <c r="O75" s="6">
        <v>3</v>
      </c>
      <c r="P75" s="6" t="s">
        <v>944</v>
      </c>
    </row>
    <row r="76" spans="1:16" ht="42.65" customHeight="1">
      <c r="A76" s="5" t="s">
        <v>945</v>
      </c>
      <c r="B76" s="5" t="s">
        <v>946</v>
      </c>
      <c r="C76" s="5" t="s">
        <v>947</v>
      </c>
      <c r="D76" s="5" t="s">
        <v>948</v>
      </c>
      <c r="E76" s="5" t="s">
        <v>949</v>
      </c>
      <c r="F76" s="5" t="s">
        <v>587</v>
      </c>
      <c r="G76" s="5" t="s">
        <v>950</v>
      </c>
      <c r="H76" s="5" t="s">
        <v>951</v>
      </c>
      <c r="I76" s="5" t="s">
        <v>952</v>
      </c>
      <c r="J76" s="5" t="s">
        <v>953</v>
      </c>
      <c r="K76" s="5" t="s">
        <v>954</v>
      </c>
      <c r="L76" s="5" t="s">
        <v>955</v>
      </c>
      <c r="M76" s="5" t="s">
        <v>48</v>
      </c>
      <c r="N76" s="5" t="s">
        <v>956</v>
      </c>
      <c r="O76" s="5">
        <v>2</v>
      </c>
      <c r="P76" s="5"/>
    </row>
    <row r="77" spans="1:16" ht="42.65" customHeight="1">
      <c r="A77" s="4" t="s">
        <v>957</v>
      </c>
      <c r="B77" s="4" t="s">
        <v>958</v>
      </c>
      <c r="C77" s="4" t="s">
        <v>959</v>
      </c>
      <c r="D77" s="4" t="s">
        <v>960</v>
      </c>
      <c r="E77" s="4" t="s">
        <v>961</v>
      </c>
      <c r="F77" s="4" t="s">
        <v>962</v>
      </c>
      <c r="G77" s="4" t="s">
        <v>963</v>
      </c>
      <c r="H77" s="4" t="s">
        <v>964</v>
      </c>
      <c r="I77" s="4" t="s">
        <v>965</v>
      </c>
      <c r="J77" s="4" t="s">
        <v>966</v>
      </c>
      <c r="K77" s="4" t="s">
        <v>967</v>
      </c>
      <c r="L77" s="4" t="s">
        <v>968</v>
      </c>
      <c r="M77" s="4" t="s">
        <v>581</v>
      </c>
      <c r="N77" s="4" t="s">
        <v>969</v>
      </c>
      <c r="O77" s="4">
        <v>1</v>
      </c>
      <c r="P77" s="4"/>
    </row>
    <row r="78" spans="1:16" ht="42.65" customHeight="1">
      <c r="A78" s="4" t="s">
        <v>970</v>
      </c>
      <c r="B78" s="4" t="s">
        <v>971</v>
      </c>
      <c r="C78" s="4" t="s">
        <v>972</v>
      </c>
      <c r="D78" s="4" t="s">
        <v>973</v>
      </c>
      <c r="E78" s="4" t="s">
        <v>974</v>
      </c>
      <c r="F78" s="4" t="s">
        <v>888</v>
      </c>
      <c r="G78" s="4" t="s">
        <v>975</v>
      </c>
      <c r="H78" s="4" t="s">
        <v>976</v>
      </c>
      <c r="I78" s="4" t="s">
        <v>977</v>
      </c>
      <c r="J78" s="4" t="s">
        <v>978</v>
      </c>
      <c r="K78" s="4" t="s">
        <v>979</v>
      </c>
      <c r="L78" s="4" t="s">
        <v>980</v>
      </c>
      <c r="M78" s="4" t="s">
        <v>581</v>
      </c>
      <c r="N78" s="4" t="s">
        <v>981</v>
      </c>
      <c r="O78" s="4">
        <v>1</v>
      </c>
      <c r="P78" s="4"/>
    </row>
    <row r="79" spans="1:16" ht="42.65" customHeight="1">
      <c r="A79" s="4" t="s">
        <v>982</v>
      </c>
      <c r="B79" s="4" t="s">
        <v>971</v>
      </c>
      <c r="C79" s="4" t="s">
        <v>983</v>
      </c>
      <c r="D79" s="4" t="s">
        <v>984</v>
      </c>
      <c r="E79" s="4" t="s">
        <v>985</v>
      </c>
      <c r="F79" s="4" t="s">
        <v>732</v>
      </c>
      <c r="G79" s="4" t="s">
        <v>986</v>
      </c>
      <c r="H79" s="4" t="s">
        <v>987</v>
      </c>
      <c r="I79" s="4" t="s">
        <v>988</v>
      </c>
      <c r="J79" s="4" t="s">
        <v>989</v>
      </c>
      <c r="K79" s="4" t="s">
        <v>990</v>
      </c>
      <c r="L79" s="4" t="s">
        <v>991</v>
      </c>
      <c r="M79" s="4" t="s">
        <v>581</v>
      </c>
      <c r="N79" s="4" t="s">
        <v>992</v>
      </c>
      <c r="O79" s="4">
        <v>1</v>
      </c>
      <c r="P79" s="4"/>
    </row>
    <row r="80" spans="1:16" ht="42.65" customHeight="1">
      <c r="A80" s="4" t="s">
        <v>993</v>
      </c>
      <c r="B80" s="4" t="s">
        <v>994</v>
      </c>
      <c r="C80" s="4" t="s">
        <v>995</v>
      </c>
      <c r="D80" s="4" t="s">
        <v>996</v>
      </c>
      <c r="E80" s="4" t="s">
        <v>985</v>
      </c>
      <c r="F80" s="4" t="s">
        <v>732</v>
      </c>
      <c r="G80" s="4" t="s">
        <v>997</v>
      </c>
      <c r="H80" s="4" t="s">
        <v>998</v>
      </c>
      <c r="I80" s="4" t="s">
        <v>999</v>
      </c>
      <c r="J80" s="4" t="s">
        <v>1000</v>
      </c>
      <c r="K80" s="4" t="s">
        <v>1001</v>
      </c>
      <c r="L80" s="4" t="s">
        <v>1002</v>
      </c>
      <c r="M80" s="4" t="s">
        <v>581</v>
      </c>
      <c r="N80" s="4" t="s">
        <v>1003</v>
      </c>
      <c r="O80" s="4">
        <v>1</v>
      </c>
      <c r="P80" s="4"/>
    </row>
    <row r="81" spans="1:16" ht="42.65" customHeight="1">
      <c r="A81" s="5" t="s">
        <v>1004</v>
      </c>
      <c r="B81" s="5" t="s">
        <v>994</v>
      </c>
      <c r="C81" s="5" t="s">
        <v>1005</v>
      </c>
      <c r="D81" s="5" t="s">
        <v>1006</v>
      </c>
      <c r="E81" s="5" t="s">
        <v>1007</v>
      </c>
      <c r="F81" s="5" t="s">
        <v>1008</v>
      </c>
      <c r="G81" s="5" t="s">
        <v>1009</v>
      </c>
      <c r="H81" s="5" t="s">
        <v>1010</v>
      </c>
      <c r="I81" s="5" t="s">
        <v>1011</v>
      </c>
      <c r="J81" s="5" t="s">
        <v>1012</v>
      </c>
      <c r="K81" s="5" t="s">
        <v>1013</v>
      </c>
      <c r="L81" s="5" t="s">
        <v>1014</v>
      </c>
      <c r="M81" s="5" t="s">
        <v>48</v>
      </c>
      <c r="N81" s="5" t="s">
        <v>1015</v>
      </c>
      <c r="O81" s="5">
        <v>2</v>
      </c>
      <c r="P81" s="5" t="s">
        <v>1016</v>
      </c>
    </row>
    <row r="82" spans="1:16" ht="42.65" customHeight="1">
      <c r="A82" s="4" t="s">
        <v>1017</v>
      </c>
      <c r="B82" s="4" t="s">
        <v>1018</v>
      </c>
      <c r="C82" s="4" t="s">
        <v>1019</v>
      </c>
      <c r="D82" s="4" t="s">
        <v>1020</v>
      </c>
      <c r="E82" s="4" t="s">
        <v>1021</v>
      </c>
      <c r="F82" s="4" t="s">
        <v>888</v>
      </c>
      <c r="G82" s="4" t="s">
        <v>1022</v>
      </c>
      <c r="H82" s="4" t="s">
        <v>1023</v>
      </c>
      <c r="I82" s="4" t="s">
        <v>1024</v>
      </c>
      <c r="J82" s="4" t="s">
        <v>1025</v>
      </c>
      <c r="K82" s="4" t="s">
        <v>701</v>
      </c>
      <c r="L82" s="4" t="s">
        <v>1026</v>
      </c>
      <c r="M82" s="4" t="s">
        <v>581</v>
      </c>
      <c r="N82" s="4" t="s">
        <v>1027</v>
      </c>
      <c r="O82" s="4">
        <v>1</v>
      </c>
      <c r="P82" s="4"/>
    </row>
    <row r="83" spans="1:16" ht="42.65" customHeight="1">
      <c r="A83" s="4" t="s">
        <v>1028</v>
      </c>
      <c r="B83" s="4" t="s">
        <v>1029</v>
      </c>
      <c r="C83" s="4" t="s">
        <v>1030</v>
      </c>
      <c r="D83" s="4" t="s">
        <v>1031</v>
      </c>
      <c r="E83" s="4" t="s">
        <v>1032</v>
      </c>
      <c r="F83" s="4" t="s">
        <v>888</v>
      </c>
      <c r="G83" s="4" t="s">
        <v>1033</v>
      </c>
      <c r="H83" s="4" t="s">
        <v>1034</v>
      </c>
      <c r="I83" s="4" t="s">
        <v>1035</v>
      </c>
      <c r="J83" s="4" t="s">
        <v>1036</v>
      </c>
      <c r="K83" s="4" t="s">
        <v>1037</v>
      </c>
      <c r="L83" s="4" t="s">
        <v>1038</v>
      </c>
      <c r="M83" s="4" t="s">
        <v>581</v>
      </c>
      <c r="N83" s="4" t="s">
        <v>1039</v>
      </c>
      <c r="O83" s="4">
        <v>1</v>
      </c>
      <c r="P83" s="4"/>
    </row>
    <row r="84" spans="1:16" ht="42.65" customHeight="1">
      <c r="A84" s="4" t="s">
        <v>1040</v>
      </c>
      <c r="B84" s="4" t="s">
        <v>1041</v>
      </c>
      <c r="C84" s="4" t="s">
        <v>1042</v>
      </c>
      <c r="D84" s="4" t="s">
        <v>1043</v>
      </c>
      <c r="E84" s="4" t="s">
        <v>1044</v>
      </c>
      <c r="F84" s="4" t="s">
        <v>855</v>
      </c>
      <c r="G84" s="4" t="s">
        <v>1045</v>
      </c>
      <c r="H84" s="4" t="s">
        <v>1046</v>
      </c>
      <c r="I84" s="4" t="s">
        <v>1047</v>
      </c>
      <c r="J84" s="4" t="s">
        <v>1048</v>
      </c>
      <c r="K84" s="4" t="s">
        <v>1049</v>
      </c>
      <c r="L84" s="4" t="s">
        <v>1050</v>
      </c>
      <c r="M84" s="4" t="s">
        <v>48</v>
      </c>
      <c r="N84" s="4" t="s">
        <v>1051</v>
      </c>
      <c r="O84" s="4">
        <v>1</v>
      </c>
      <c r="P84" s="4"/>
    </row>
    <row r="85" spans="1:16" ht="42.65" customHeight="1">
      <c r="A85" s="4" t="s">
        <v>1052</v>
      </c>
      <c r="B85" s="4" t="s">
        <v>1053</v>
      </c>
      <c r="C85" s="4" t="s">
        <v>1054</v>
      </c>
      <c r="D85" s="4" t="s">
        <v>1055</v>
      </c>
      <c r="E85" s="4" t="s">
        <v>1056</v>
      </c>
      <c r="F85" s="4" t="s">
        <v>1057</v>
      </c>
      <c r="G85" s="4" t="s">
        <v>1058</v>
      </c>
      <c r="H85" s="4" t="s">
        <v>1059</v>
      </c>
      <c r="I85" s="4" t="s">
        <v>1060</v>
      </c>
      <c r="J85" s="4" t="s">
        <v>1061</v>
      </c>
      <c r="K85" s="4" t="s">
        <v>1062</v>
      </c>
      <c r="L85" s="4" t="s">
        <v>1063</v>
      </c>
      <c r="M85" s="4" t="s">
        <v>581</v>
      </c>
      <c r="N85" s="4" t="s">
        <v>1064</v>
      </c>
      <c r="O85" s="4">
        <v>1</v>
      </c>
      <c r="P85" s="4"/>
    </row>
    <row r="86" spans="1:16" ht="42.65" customHeight="1">
      <c r="A86" s="4" t="s">
        <v>1065</v>
      </c>
      <c r="B86" s="4" t="s">
        <v>1066</v>
      </c>
      <c r="C86" s="4" t="s">
        <v>1067</v>
      </c>
      <c r="D86" s="4" t="s">
        <v>1068</v>
      </c>
      <c r="E86" s="4" t="s">
        <v>1069</v>
      </c>
      <c r="F86" s="4" t="s">
        <v>744</v>
      </c>
      <c r="G86" s="4" t="s">
        <v>1070</v>
      </c>
      <c r="H86" s="4" t="s">
        <v>1071</v>
      </c>
      <c r="I86" s="4" t="s">
        <v>1072</v>
      </c>
      <c r="J86" s="4" t="s">
        <v>1073</v>
      </c>
      <c r="K86" s="4" t="s">
        <v>1074</v>
      </c>
      <c r="L86" s="4" t="s">
        <v>1075</v>
      </c>
      <c r="M86" s="4" t="s">
        <v>48</v>
      </c>
      <c r="N86" s="4" t="s">
        <v>1076</v>
      </c>
      <c r="O86" s="4">
        <v>1</v>
      </c>
      <c r="P86" s="4" t="s">
        <v>1077</v>
      </c>
    </row>
    <row r="87" spans="1:16" ht="42.65" customHeight="1">
      <c r="A87" s="4" t="s">
        <v>1078</v>
      </c>
      <c r="B87" s="4" t="s">
        <v>1079</v>
      </c>
      <c r="C87" s="4" t="s">
        <v>1080</v>
      </c>
      <c r="D87" s="4" t="s">
        <v>1081</v>
      </c>
      <c r="E87" s="4" t="s">
        <v>1082</v>
      </c>
      <c r="F87" s="4" t="s">
        <v>757</v>
      </c>
      <c r="G87" s="4" t="s">
        <v>1083</v>
      </c>
      <c r="H87" s="4" t="s">
        <v>1084</v>
      </c>
      <c r="I87" s="4" t="s">
        <v>1085</v>
      </c>
      <c r="J87" s="4" t="s">
        <v>1086</v>
      </c>
      <c r="K87" s="4" t="s">
        <v>1087</v>
      </c>
      <c r="L87" s="4" t="s">
        <v>1088</v>
      </c>
      <c r="M87" s="4" t="s">
        <v>48</v>
      </c>
      <c r="N87" s="4" t="s">
        <v>1089</v>
      </c>
      <c r="O87" s="4">
        <v>1</v>
      </c>
      <c r="P87" s="4"/>
    </row>
    <row r="88" spans="1:16" ht="42.65" customHeight="1">
      <c r="A88" s="4" t="s">
        <v>1090</v>
      </c>
      <c r="B88" s="4" t="s">
        <v>1091</v>
      </c>
      <c r="C88" s="4" t="s">
        <v>1092</v>
      </c>
      <c r="D88" s="4" t="s">
        <v>1093</v>
      </c>
      <c r="E88" s="4" t="s">
        <v>1094</v>
      </c>
      <c r="F88" s="4" t="s">
        <v>1095</v>
      </c>
      <c r="G88" s="4" t="s">
        <v>1096</v>
      </c>
      <c r="H88" s="4" t="s">
        <v>1097</v>
      </c>
      <c r="I88" s="4" t="s">
        <v>1098</v>
      </c>
      <c r="J88" s="4" t="s">
        <v>1099</v>
      </c>
      <c r="K88" s="4" t="s">
        <v>1100</v>
      </c>
      <c r="L88" s="4" t="s">
        <v>1101</v>
      </c>
      <c r="M88" s="4" t="s">
        <v>48</v>
      </c>
      <c r="N88" s="4" t="s">
        <v>1102</v>
      </c>
      <c r="O88" s="4">
        <v>1</v>
      </c>
      <c r="P88" s="4"/>
    </row>
    <row r="89" spans="1:16" ht="42.65" customHeight="1">
      <c r="A89" s="5" t="s">
        <v>1103</v>
      </c>
      <c r="B89" s="5" t="s">
        <v>1104</v>
      </c>
      <c r="C89" s="5" t="s">
        <v>1105</v>
      </c>
      <c r="D89" s="5" t="s">
        <v>1106</v>
      </c>
      <c r="E89" s="5" t="s">
        <v>1107</v>
      </c>
      <c r="F89" s="5" t="s">
        <v>1108</v>
      </c>
      <c r="G89" s="5" t="s">
        <v>1109</v>
      </c>
      <c r="H89" s="5" t="s">
        <v>1110</v>
      </c>
      <c r="I89" s="5" t="s">
        <v>1111</v>
      </c>
      <c r="J89" s="5" t="s">
        <v>1112</v>
      </c>
      <c r="K89" s="5" t="s">
        <v>1113</v>
      </c>
      <c r="L89" s="5" t="s">
        <v>1114</v>
      </c>
      <c r="M89" s="5" t="s">
        <v>48</v>
      </c>
      <c r="N89" s="5" t="s">
        <v>1115</v>
      </c>
      <c r="O89" s="5">
        <v>2</v>
      </c>
      <c r="P89" s="5" t="s">
        <v>1116</v>
      </c>
    </row>
    <row r="90" spans="1:16" ht="42.65" customHeight="1">
      <c r="A90" s="4" t="s">
        <v>1117</v>
      </c>
      <c r="B90" s="4" t="s">
        <v>1118</v>
      </c>
      <c r="C90" s="4" t="s">
        <v>1119</v>
      </c>
      <c r="D90" s="4" t="s">
        <v>1120</v>
      </c>
      <c r="E90" s="4" t="s">
        <v>1121</v>
      </c>
      <c r="F90" s="4" t="s">
        <v>888</v>
      </c>
      <c r="G90" s="4" t="s">
        <v>1122</v>
      </c>
      <c r="H90" s="4" t="s">
        <v>1123</v>
      </c>
      <c r="I90" s="4" t="s">
        <v>1124</v>
      </c>
      <c r="J90" s="4" t="s">
        <v>1125</v>
      </c>
      <c r="K90" s="4" t="s">
        <v>1126</v>
      </c>
      <c r="L90" s="4" t="s">
        <v>1127</v>
      </c>
      <c r="M90" s="4" t="s">
        <v>581</v>
      </c>
      <c r="N90" s="4" t="s">
        <v>1128</v>
      </c>
      <c r="O90" s="4">
        <v>1</v>
      </c>
      <c r="P90" s="4"/>
    </row>
    <row r="91" spans="1:16" ht="42.65" customHeight="1">
      <c r="A91" s="4" t="s">
        <v>1129</v>
      </c>
      <c r="B91" s="4" t="s">
        <v>1130</v>
      </c>
      <c r="C91" s="4" t="s">
        <v>1131</v>
      </c>
      <c r="D91" s="4" t="s">
        <v>1132</v>
      </c>
      <c r="E91" s="4" t="s">
        <v>1133</v>
      </c>
      <c r="F91" s="4" t="s">
        <v>1134</v>
      </c>
      <c r="G91" s="4" t="s">
        <v>1135</v>
      </c>
      <c r="H91" s="4" t="s">
        <v>1136</v>
      </c>
      <c r="I91" s="4" t="s">
        <v>1137</v>
      </c>
      <c r="J91" s="4" t="s">
        <v>1138</v>
      </c>
      <c r="K91" s="4" t="s">
        <v>1139</v>
      </c>
      <c r="L91" s="4" t="s">
        <v>1140</v>
      </c>
      <c r="M91" s="4" t="s">
        <v>581</v>
      </c>
      <c r="N91" s="4" t="s">
        <v>1141</v>
      </c>
      <c r="O91" s="4">
        <v>1</v>
      </c>
      <c r="P91" s="4"/>
    </row>
    <row r="92" spans="1:16" ht="42.65" customHeight="1">
      <c r="A92" s="4" t="s">
        <v>1142</v>
      </c>
      <c r="B92" s="4" t="s">
        <v>1143</v>
      </c>
      <c r="C92" s="4" t="s">
        <v>1144</v>
      </c>
      <c r="D92" s="4" t="s">
        <v>1145</v>
      </c>
      <c r="E92" s="4" t="s">
        <v>1146</v>
      </c>
      <c r="F92" s="4" t="s">
        <v>888</v>
      </c>
      <c r="G92" s="4" t="s">
        <v>1147</v>
      </c>
      <c r="H92" s="4" t="s">
        <v>1148</v>
      </c>
      <c r="I92" s="4" t="s">
        <v>1149</v>
      </c>
      <c r="J92" s="4" t="s">
        <v>1150</v>
      </c>
      <c r="K92" s="4" t="s">
        <v>1151</v>
      </c>
      <c r="L92" s="4" t="s">
        <v>1152</v>
      </c>
      <c r="M92" s="4" t="s">
        <v>581</v>
      </c>
      <c r="N92" s="4" t="s">
        <v>1153</v>
      </c>
      <c r="O92" s="4">
        <v>1</v>
      </c>
      <c r="P92" s="4"/>
    </row>
    <row r="93" spans="1:16" ht="42.65" customHeight="1">
      <c r="A93" s="4" t="s">
        <v>1154</v>
      </c>
      <c r="B93" s="4" t="s">
        <v>1155</v>
      </c>
      <c r="C93" s="4" t="s">
        <v>1156</v>
      </c>
      <c r="D93" s="4" t="s">
        <v>1157</v>
      </c>
      <c r="E93" s="4" t="s">
        <v>1158</v>
      </c>
      <c r="F93" s="4" t="s">
        <v>1159</v>
      </c>
      <c r="G93" s="4" t="s">
        <v>1160</v>
      </c>
      <c r="H93" s="4" t="s">
        <v>1161</v>
      </c>
      <c r="I93" s="4" t="s">
        <v>1162</v>
      </c>
      <c r="J93" s="4" t="s">
        <v>1163</v>
      </c>
      <c r="K93" s="4" t="s">
        <v>1164</v>
      </c>
      <c r="L93" s="4" t="s">
        <v>1165</v>
      </c>
      <c r="M93" s="4" t="s">
        <v>581</v>
      </c>
      <c r="N93" s="4" t="s">
        <v>1166</v>
      </c>
      <c r="O93" s="4">
        <v>1</v>
      </c>
      <c r="P93" s="4"/>
    </row>
    <row r="94" spans="1:16" ht="42.65" customHeight="1">
      <c r="A94" s="4" t="s">
        <v>1167</v>
      </c>
      <c r="B94" s="4" t="s">
        <v>1168</v>
      </c>
      <c r="C94" s="4" t="s">
        <v>1169</v>
      </c>
      <c r="D94" s="4" t="s">
        <v>1170</v>
      </c>
      <c r="E94" s="4" t="s">
        <v>1171</v>
      </c>
      <c r="F94" s="4" t="s">
        <v>1172</v>
      </c>
      <c r="G94" s="4" t="s">
        <v>1173</v>
      </c>
      <c r="H94" s="4" t="s">
        <v>1174</v>
      </c>
      <c r="I94" s="4" t="s">
        <v>1175</v>
      </c>
      <c r="J94" s="4" t="s">
        <v>1176</v>
      </c>
      <c r="K94" s="4" t="s">
        <v>1177</v>
      </c>
      <c r="L94" s="4" t="s">
        <v>1178</v>
      </c>
      <c r="M94" s="4" t="s">
        <v>581</v>
      </c>
      <c r="N94" s="4" t="s">
        <v>1179</v>
      </c>
      <c r="O94" s="4">
        <v>1</v>
      </c>
      <c r="P94" s="4"/>
    </row>
    <row r="95" spans="1:16" ht="42.65" customHeight="1">
      <c r="A95" s="4" t="s">
        <v>1180</v>
      </c>
      <c r="B95" s="4" t="s">
        <v>1181</v>
      </c>
      <c r="C95" s="4" t="s">
        <v>1182</v>
      </c>
      <c r="D95" s="4" t="s">
        <v>1183</v>
      </c>
      <c r="E95" s="4" t="s">
        <v>1184</v>
      </c>
      <c r="F95" s="4" t="s">
        <v>757</v>
      </c>
      <c r="G95" s="4" t="s">
        <v>1185</v>
      </c>
      <c r="H95" s="4" t="s">
        <v>1186</v>
      </c>
      <c r="I95" s="4" t="s">
        <v>1187</v>
      </c>
      <c r="J95" s="4" t="s">
        <v>1188</v>
      </c>
      <c r="K95" s="4" t="s">
        <v>762</v>
      </c>
      <c r="L95" s="4" t="s">
        <v>1189</v>
      </c>
      <c r="M95" s="4" t="s">
        <v>48</v>
      </c>
      <c r="N95" s="4" t="s">
        <v>1190</v>
      </c>
      <c r="O95" s="4">
        <v>1</v>
      </c>
      <c r="P95" s="4"/>
    </row>
    <row r="96" spans="1:16" ht="42.65" customHeight="1">
      <c r="A96" s="4" t="s">
        <v>1191</v>
      </c>
      <c r="B96" s="4" t="s">
        <v>1192</v>
      </c>
      <c r="C96" s="4" t="s">
        <v>1193</v>
      </c>
      <c r="D96" s="4" t="s">
        <v>1194</v>
      </c>
      <c r="E96" s="4" t="s">
        <v>1195</v>
      </c>
      <c r="F96" s="4" t="s">
        <v>888</v>
      </c>
      <c r="G96" s="4" t="s">
        <v>1045</v>
      </c>
      <c r="H96" s="4" t="s">
        <v>1196</v>
      </c>
      <c r="I96" s="4" t="s">
        <v>1197</v>
      </c>
      <c r="J96" s="4" t="s">
        <v>1198</v>
      </c>
      <c r="K96" s="4" t="s">
        <v>1199</v>
      </c>
      <c r="L96" s="4" t="s">
        <v>1200</v>
      </c>
      <c r="M96" s="4" t="s">
        <v>1201</v>
      </c>
      <c r="N96" s="4" t="s">
        <v>1202</v>
      </c>
      <c r="O96" s="4">
        <v>1</v>
      </c>
      <c r="P96" s="4"/>
    </row>
    <row r="97" spans="1:16" ht="42.65" customHeight="1">
      <c r="A97" s="4" t="s">
        <v>1203</v>
      </c>
      <c r="B97" s="4" t="s">
        <v>1204</v>
      </c>
      <c r="C97" s="4" t="s">
        <v>1205</v>
      </c>
      <c r="D97" s="4" t="s">
        <v>1206</v>
      </c>
      <c r="E97" s="4" t="s">
        <v>1207</v>
      </c>
      <c r="F97" s="4" t="s">
        <v>888</v>
      </c>
      <c r="G97" s="4" t="s">
        <v>1208</v>
      </c>
      <c r="H97" s="4" t="s">
        <v>1209</v>
      </c>
      <c r="I97" s="4" t="s">
        <v>1210</v>
      </c>
      <c r="J97" s="4" t="s">
        <v>1211</v>
      </c>
      <c r="K97" s="4" t="s">
        <v>1212</v>
      </c>
      <c r="L97" s="4" t="s">
        <v>1213</v>
      </c>
      <c r="M97" s="4" t="s">
        <v>581</v>
      </c>
      <c r="N97" s="4" t="s">
        <v>1214</v>
      </c>
      <c r="O97" s="4">
        <v>1</v>
      </c>
      <c r="P97" s="4"/>
    </row>
    <row r="98" spans="1:16" ht="42.65" customHeight="1">
      <c r="A98" s="4" t="s">
        <v>1215</v>
      </c>
      <c r="B98" s="4" t="s">
        <v>1216</v>
      </c>
      <c r="C98" s="4" t="s">
        <v>1217</v>
      </c>
      <c r="D98" s="4" t="s">
        <v>1218</v>
      </c>
      <c r="E98" s="4" t="s">
        <v>1146</v>
      </c>
      <c r="F98" s="4" t="s">
        <v>888</v>
      </c>
      <c r="G98" s="4" t="s">
        <v>1219</v>
      </c>
      <c r="H98" s="4" t="s">
        <v>1220</v>
      </c>
      <c r="I98" s="4" t="s">
        <v>1221</v>
      </c>
      <c r="J98" s="4" t="s">
        <v>1222</v>
      </c>
      <c r="K98" s="4" t="s">
        <v>1223</v>
      </c>
      <c r="L98" s="4" t="s">
        <v>1224</v>
      </c>
      <c r="M98" s="4" t="s">
        <v>581</v>
      </c>
      <c r="N98" s="4" t="s">
        <v>1225</v>
      </c>
      <c r="O98" s="4">
        <v>1</v>
      </c>
      <c r="P98" s="4"/>
    </row>
    <row r="99" spans="1:16" ht="42.65" customHeight="1">
      <c r="A99" s="4" t="s">
        <v>1226</v>
      </c>
      <c r="B99" s="4" t="s">
        <v>1227</v>
      </c>
      <c r="C99" s="4" t="s">
        <v>1228</v>
      </c>
      <c r="D99" s="4" t="s">
        <v>1229</v>
      </c>
      <c r="E99" s="4" t="s">
        <v>1230</v>
      </c>
      <c r="F99" s="4" t="s">
        <v>888</v>
      </c>
      <c r="G99" s="4" t="s">
        <v>1231</v>
      </c>
      <c r="H99" s="4" t="s">
        <v>1232</v>
      </c>
      <c r="I99" s="4" t="s">
        <v>1233</v>
      </c>
      <c r="J99" s="4" t="s">
        <v>1234</v>
      </c>
      <c r="K99" s="4" t="s">
        <v>1235</v>
      </c>
      <c r="L99" s="4" t="s">
        <v>1236</v>
      </c>
      <c r="M99" s="4" t="s">
        <v>48</v>
      </c>
      <c r="N99" s="4" t="s">
        <v>1237</v>
      </c>
      <c r="O99" s="4">
        <v>1</v>
      </c>
      <c r="P99" s="4"/>
    </row>
    <row r="100" spans="1:16" ht="42.65" customHeight="1">
      <c r="A100" s="4" t="s">
        <v>1238</v>
      </c>
      <c r="B100" s="4" t="s">
        <v>1239</v>
      </c>
      <c r="C100" s="4" t="s">
        <v>1240</v>
      </c>
      <c r="D100" s="4" t="s">
        <v>1241</v>
      </c>
      <c r="E100" s="4" t="s">
        <v>1242</v>
      </c>
      <c r="F100" s="4" t="s">
        <v>1243</v>
      </c>
      <c r="G100" s="4" t="s">
        <v>1244</v>
      </c>
      <c r="H100" s="4" t="s">
        <v>1245</v>
      </c>
      <c r="I100" s="4" t="s">
        <v>1246</v>
      </c>
      <c r="J100" s="4" t="s">
        <v>1247</v>
      </c>
      <c r="K100" s="4" t="s">
        <v>1248</v>
      </c>
      <c r="L100" s="4" t="s">
        <v>1249</v>
      </c>
      <c r="M100" s="4" t="s">
        <v>48</v>
      </c>
      <c r="N100" s="4" t="s">
        <v>1250</v>
      </c>
      <c r="O100" s="4">
        <v>1</v>
      </c>
      <c r="P100" s="4"/>
    </row>
    <row r="101" spans="1:16" ht="42.65" customHeight="1">
      <c r="A101" s="4" t="s">
        <v>1251</v>
      </c>
      <c r="B101" s="4" t="s">
        <v>1252</v>
      </c>
      <c r="C101" s="4" t="s">
        <v>1253</v>
      </c>
      <c r="D101" s="4" t="s">
        <v>1254</v>
      </c>
      <c r="E101" s="4" t="s">
        <v>1255</v>
      </c>
      <c r="F101" s="4" t="s">
        <v>888</v>
      </c>
      <c r="G101" s="4" t="s">
        <v>1256</v>
      </c>
      <c r="H101" s="4" t="s">
        <v>1257</v>
      </c>
      <c r="I101" s="4" t="s">
        <v>1258</v>
      </c>
      <c r="J101" s="4" t="s">
        <v>1259</v>
      </c>
      <c r="K101" s="4" t="s">
        <v>1260</v>
      </c>
      <c r="L101" s="4" t="s">
        <v>1261</v>
      </c>
      <c r="M101" s="4" t="s">
        <v>1262</v>
      </c>
      <c r="N101" s="4" t="s">
        <v>1263</v>
      </c>
      <c r="O101" s="4">
        <v>1</v>
      </c>
      <c r="P101" s="4"/>
    </row>
    <row r="102" spans="1:16" ht="42.65" customHeight="1">
      <c r="A102" s="4" t="s">
        <v>1264</v>
      </c>
      <c r="B102" s="4" t="s">
        <v>1265</v>
      </c>
      <c r="C102" s="4" t="s">
        <v>1266</v>
      </c>
      <c r="D102" s="4" t="s">
        <v>1267</v>
      </c>
      <c r="E102" s="4" t="s">
        <v>1268</v>
      </c>
      <c r="F102" s="4" t="s">
        <v>685</v>
      </c>
      <c r="G102" s="4" t="s">
        <v>1269</v>
      </c>
      <c r="H102" s="4" t="s">
        <v>1270</v>
      </c>
      <c r="I102" s="4" t="s">
        <v>1271</v>
      </c>
      <c r="J102" s="4" t="s">
        <v>1272</v>
      </c>
      <c r="K102" s="4" t="s">
        <v>1273</v>
      </c>
      <c r="L102" s="4" t="s">
        <v>1274</v>
      </c>
      <c r="M102" s="4" t="s">
        <v>581</v>
      </c>
      <c r="N102" s="4" t="s">
        <v>1275</v>
      </c>
      <c r="O102" s="4">
        <v>1</v>
      </c>
      <c r="P102" s="4"/>
    </row>
    <row r="103" spans="1:16" ht="42.65" customHeight="1">
      <c r="A103" s="4" t="s">
        <v>1276</v>
      </c>
      <c r="B103" s="4" t="s">
        <v>1277</v>
      </c>
      <c r="C103" s="4" t="s">
        <v>1278</v>
      </c>
      <c r="D103" s="4" t="s">
        <v>1279</v>
      </c>
      <c r="E103" s="4" t="s">
        <v>1280</v>
      </c>
      <c r="F103" s="4" t="s">
        <v>1281</v>
      </c>
      <c r="G103" s="4" t="s">
        <v>1282</v>
      </c>
      <c r="H103" s="4" t="s">
        <v>1283</v>
      </c>
      <c r="I103" s="4" t="s">
        <v>1284</v>
      </c>
      <c r="J103" s="4" t="s">
        <v>1285</v>
      </c>
      <c r="K103" s="4" t="s">
        <v>1286</v>
      </c>
      <c r="L103" s="4" t="s">
        <v>1287</v>
      </c>
      <c r="M103" s="4" t="s">
        <v>581</v>
      </c>
      <c r="N103" s="4" t="s">
        <v>1288</v>
      </c>
      <c r="O103" s="4">
        <v>1</v>
      </c>
      <c r="P103" s="4"/>
    </row>
    <row r="104" spans="1:16" ht="42.65" customHeight="1">
      <c r="A104" s="4" t="s">
        <v>1289</v>
      </c>
      <c r="B104" s="4" t="s">
        <v>1290</v>
      </c>
      <c r="C104" s="4" t="s">
        <v>1291</v>
      </c>
      <c r="D104" s="4" t="s">
        <v>1292</v>
      </c>
      <c r="E104" s="4" t="s">
        <v>1293</v>
      </c>
      <c r="F104" s="4" t="s">
        <v>888</v>
      </c>
      <c r="G104" s="4" t="s">
        <v>1294</v>
      </c>
      <c r="H104" s="4" t="s">
        <v>1295</v>
      </c>
      <c r="I104" s="4" t="s">
        <v>1296</v>
      </c>
      <c r="J104" s="4" t="s">
        <v>1297</v>
      </c>
      <c r="K104" s="4" t="s">
        <v>1199</v>
      </c>
      <c r="L104" s="4" t="s">
        <v>1298</v>
      </c>
      <c r="M104" s="4" t="s">
        <v>1299</v>
      </c>
      <c r="N104" s="4" t="s">
        <v>1300</v>
      </c>
      <c r="O104" s="4">
        <v>1</v>
      </c>
      <c r="P104" s="4"/>
    </row>
    <row r="105" spans="1:16" ht="42.65" customHeight="1">
      <c r="A105" s="4" t="s">
        <v>1301</v>
      </c>
      <c r="B105" s="4" t="s">
        <v>1290</v>
      </c>
      <c r="C105" s="4" t="s">
        <v>1302</v>
      </c>
      <c r="D105" s="4" t="s">
        <v>1303</v>
      </c>
      <c r="E105" s="4" t="s">
        <v>1304</v>
      </c>
      <c r="F105" s="4" t="s">
        <v>1305</v>
      </c>
      <c r="G105" s="4" t="s">
        <v>1306</v>
      </c>
      <c r="H105" s="4" t="s">
        <v>1307</v>
      </c>
      <c r="I105" s="4" t="s">
        <v>1308</v>
      </c>
      <c r="J105" s="4" t="s">
        <v>1309</v>
      </c>
      <c r="K105" s="4" t="s">
        <v>1310</v>
      </c>
      <c r="L105" s="4" t="s">
        <v>1311</v>
      </c>
      <c r="M105" s="4" t="s">
        <v>581</v>
      </c>
      <c r="N105" s="4" t="s">
        <v>1312</v>
      </c>
      <c r="O105" s="4">
        <v>1</v>
      </c>
      <c r="P105" s="4"/>
    </row>
    <row r="106" spans="1:16" ht="42.65" customHeight="1">
      <c r="A106" s="4" t="s">
        <v>1313</v>
      </c>
      <c r="B106" s="4" t="s">
        <v>1290</v>
      </c>
      <c r="C106" s="4" t="s">
        <v>1314</v>
      </c>
      <c r="D106" s="4" t="s">
        <v>1315</v>
      </c>
      <c r="E106" s="4" t="s">
        <v>828</v>
      </c>
      <c r="F106" s="4" t="s">
        <v>685</v>
      </c>
      <c r="G106" s="4" t="s">
        <v>1316</v>
      </c>
      <c r="H106" s="4" t="s">
        <v>1317</v>
      </c>
      <c r="I106" s="4" t="s">
        <v>1318</v>
      </c>
      <c r="J106" s="4" t="s">
        <v>1319</v>
      </c>
      <c r="K106" s="4" t="s">
        <v>1320</v>
      </c>
      <c r="L106" s="4" t="s">
        <v>1321</v>
      </c>
      <c r="M106" s="4" t="s">
        <v>581</v>
      </c>
      <c r="N106" s="4" t="s">
        <v>1322</v>
      </c>
      <c r="O106" s="4">
        <v>1</v>
      </c>
      <c r="P106" s="4"/>
    </row>
    <row r="107" spans="1:16" ht="42.65" customHeight="1">
      <c r="A107" s="4" t="s">
        <v>1323</v>
      </c>
      <c r="B107" s="4" t="s">
        <v>1324</v>
      </c>
      <c r="C107" s="4" t="s">
        <v>1325</v>
      </c>
      <c r="D107" s="4" t="s">
        <v>1326</v>
      </c>
      <c r="E107" s="4" t="s">
        <v>1304</v>
      </c>
      <c r="F107" s="4" t="s">
        <v>685</v>
      </c>
      <c r="G107" s="4" t="s">
        <v>686</v>
      </c>
      <c r="H107" s="4" t="s">
        <v>1327</v>
      </c>
      <c r="I107" s="4" t="s">
        <v>1328</v>
      </c>
      <c r="J107" s="4" t="s">
        <v>1329</v>
      </c>
      <c r="K107" s="4" t="s">
        <v>1330</v>
      </c>
      <c r="L107" s="4" t="s">
        <v>1331</v>
      </c>
      <c r="M107" s="4" t="s">
        <v>581</v>
      </c>
      <c r="N107" s="4" t="s">
        <v>1332</v>
      </c>
      <c r="O107" s="4">
        <v>1</v>
      </c>
      <c r="P107" s="4"/>
    </row>
    <row r="108" spans="1:16" ht="42.65" customHeight="1">
      <c r="A108" s="4" t="s">
        <v>1333</v>
      </c>
      <c r="B108" s="4" t="s">
        <v>1334</v>
      </c>
      <c r="C108" s="4" t="s">
        <v>1335</v>
      </c>
      <c r="D108" s="4" t="s">
        <v>1336</v>
      </c>
      <c r="E108" s="4" t="s">
        <v>1337</v>
      </c>
      <c r="F108" s="4" t="s">
        <v>1159</v>
      </c>
      <c r="G108" s="4" t="s">
        <v>1338</v>
      </c>
      <c r="H108" s="4" t="s">
        <v>1339</v>
      </c>
      <c r="I108" s="4" t="s">
        <v>1340</v>
      </c>
      <c r="J108" s="4" t="s">
        <v>1341</v>
      </c>
      <c r="K108" s="4" t="s">
        <v>1342</v>
      </c>
      <c r="L108" s="4" t="s">
        <v>1343</v>
      </c>
      <c r="M108" s="4" t="s">
        <v>48</v>
      </c>
      <c r="N108" s="4" t="s">
        <v>1344</v>
      </c>
      <c r="O108" s="4">
        <v>1</v>
      </c>
      <c r="P108" s="4"/>
    </row>
    <row r="109" spans="1:16" ht="42.65" customHeight="1">
      <c r="A109" s="5" t="s">
        <v>1345</v>
      </c>
      <c r="B109" s="5" t="s">
        <v>1346</v>
      </c>
      <c r="C109" s="5" t="s">
        <v>1347</v>
      </c>
      <c r="D109" s="5" t="s">
        <v>1348</v>
      </c>
      <c r="E109" s="5" t="s">
        <v>1349</v>
      </c>
      <c r="F109" s="5" t="s">
        <v>888</v>
      </c>
      <c r="G109" s="5" t="s">
        <v>1350</v>
      </c>
      <c r="H109" s="5" t="s">
        <v>1351</v>
      </c>
      <c r="I109" s="5" t="s">
        <v>1352</v>
      </c>
      <c r="J109" s="5" t="s">
        <v>1353</v>
      </c>
      <c r="K109" s="5" t="s">
        <v>1354</v>
      </c>
      <c r="L109" s="5" t="s">
        <v>1355</v>
      </c>
      <c r="M109" s="5" t="s">
        <v>1201</v>
      </c>
      <c r="N109" s="5" t="s">
        <v>1356</v>
      </c>
      <c r="O109" s="5">
        <v>2</v>
      </c>
      <c r="P109" s="5" t="s">
        <v>1357</v>
      </c>
    </row>
    <row r="110" spans="1:16" ht="42.65" customHeight="1">
      <c r="A110" s="4" t="s">
        <v>1358</v>
      </c>
      <c r="B110" s="4" t="s">
        <v>1359</v>
      </c>
      <c r="C110" s="4" t="s">
        <v>1360</v>
      </c>
      <c r="D110" s="4" t="s">
        <v>1361</v>
      </c>
      <c r="E110" s="4" t="s">
        <v>1362</v>
      </c>
      <c r="F110" s="4" t="s">
        <v>1134</v>
      </c>
      <c r="G110" s="4" t="s">
        <v>1135</v>
      </c>
      <c r="H110" s="4" t="s">
        <v>1363</v>
      </c>
      <c r="I110" s="4" t="s">
        <v>1364</v>
      </c>
      <c r="J110" s="4" t="s">
        <v>1365</v>
      </c>
      <c r="K110" s="4" t="s">
        <v>1366</v>
      </c>
      <c r="L110" s="4" t="s">
        <v>1367</v>
      </c>
      <c r="M110" s="4" t="s">
        <v>1368</v>
      </c>
      <c r="N110" s="4" t="s">
        <v>1369</v>
      </c>
      <c r="O110" s="4">
        <v>1</v>
      </c>
      <c r="P110" s="4"/>
    </row>
    <row r="111" spans="1:16" ht="42.65" customHeight="1">
      <c r="A111" s="4" t="s">
        <v>1370</v>
      </c>
      <c r="B111" s="4" t="s">
        <v>1371</v>
      </c>
      <c r="C111" s="4" t="s">
        <v>1372</v>
      </c>
      <c r="D111" s="4" t="s">
        <v>1373</v>
      </c>
      <c r="E111" s="4" t="s">
        <v>1374</v>
      </c>
      <c r="F111" s="4" t="s">
        <v>888</v>
      </c>
      <c r="G111" s="4" t="s">
        <v>1231</v>
      </c>
      <c r="H111" s="4" t="s">
        <v>1375</v>
      </c>
      <c r="I111" s="4" t="s">
        <v>1376</v>
      </c>
      <c r="J111" s="4" t="s">
        <v>1377</v>
      </c>
      <c r="K111" s="4" t="s">
        <v>1378</v>
      </c>
      <c r="L111" s="4" t="s">
        <v>1379</v>
      </c>
      <c r="M111" s="4" t="s">
        <v>1380</v>
      </c>
      <c r="N111" s="4" t="s">
        <v>1381</v>
      </c>
      <c r="O111" s="4">
        <v>1</v>
      </c>
      <c r="P111" s="4"/>
    </row>
    <row r="112" spans="1:16" ht="42.65" customHeight="1">
      <c r="A112" s="4" t="s">
        <v>1382</v>
      </c>
      <c r="B112" s="4" t="s">
        <v>1371</v>
      </c>
      <c r="C112" s="4" t="s">
        <v>1383</v>
      </c>
      <c r="D112" s="4" t="s">
        <v>1384</v>
      </c>
      <c r="E112" s="4" t="s">
        <v>1385</v>
      </c>
      <c r="F112" s="4" t="s">
        <v>1386</v>
      </c>
      <c r="G112" s="4" t="s">
        <v>1387</v>
      </c>
      <c r="H112" s="4" t="s">
        <v>1388</v>
      </c>
      <c r="I112" s="4" t="s">
        <v>1389</v>
      </c>
      <c r="J112" s="4" t="s">
        <v>1390</v>
      </c>
      <c r="K112" s="4" t="s">
        <v>1391</v>
      </c>
      <c r="L112" s="4" t="s">
        <v>1392</v>
      </c>
      <c r="M112" s="4" t="s">
        <v>581</v>
      </c>
      <c r="N112" s="4" t="s">
        <v>1393</v>
      </c>
      <c r="O112" s="4">
        <v>1</v>
      </c>
      <c r="P112" s="4"/>
    </row>
    <row r="113" spans="1:16" ht="42.65" customHeight="1">
      <c r="A113" s="5" t="s">
        <v>1394</v>
      </c>
      <c r="B113" s="5" t="s">
        <v>1395</v>
      </c>
      <c r="C113" s="5" t="s">
        <v>1396</v>
      </c>
      <c r="D113" s="5" t="s">
        <v>1397</v>
      </c>
      <c r="E113" s="5" t="s">
        <v>1398</v>
      </c>
      <c r="F113" s="5" t="s">
        <v>1399</v>
      </c>
      <c r="G113" s="5" t="s">
        <v>1400</v>
      </c>
      <c r="H113" s="5" t="s">
        <v>1401</v>
      </c>
      <c r="I113" s="5" t="s">
        <v>1402</v>
      </c>
      <c r="J113" s="5" t="s">
        <v>1403</v>
      </c>
      <c r="K113" s="5" t="s">
        <v>1404</v>
      </c>
      <c r="L113" s="5" t="s">
        <v>1405</v>
      </c>
      <c r="M113" s="5" t="s">
        <v>581</v>
      </c>
      <c r="N113" s="5" t="s">
        <v>1406</v>
      </c>
      <c r="O113" s="5">
        <v>2</v>
      </c>
      <c r="P113" s="5" t="s">
        <v>1407</v>
      </c>
    </row>
    <row r="114" spans="1:16" ht="42.65" customHeight="1">
      <c r="A114" s="4" t="s">
        <v>1408</v>
      </c>
      <c r="B114" s="4" t="s">
        <v>1409</v>
      </c>
      <c r="C114" s="4" t="s">
        <v>1410</v>
      </c>
      <c r="D114" s="4" t="s">
        <v>1411</v>
      </c>
      <c r="E114" s="4" t="s">
        <v>1412</v>
      </c>
      <c r="F114" s="4" t="s">
        <v>1413</v>
      </c>
      <c r="G114" s="4" t="s">
        <v>1414</v>
      </c>
      <c r="H114" s="4" t="s">
        <v>1415</v>
      </c>
      <c r="I114" s="4" t="s">
        <v>1416</v>
      </c>
      <c r="J114" s="4" t="s">
        <v>1417</v>
      </c>
      <c r="K114" s="4" t="s">
        <v>1418</v>
      </c>
      <c r="L114" s="4" t="s">
        <v>1419</v>
      </c>
      <c r="M114" s="4" t="s">
        <v>581</v>
      </c>
      <c r="N114" s="4" t="s">
        <v>1420</v>
      </c>
      <c r="O114" s="4">
        <v>1</v>
      </c>
      <c r="P114" s="4"/>
    </row>
    <row r="115" spans="1:16" ht="42.65" customHeight="1">
      <c r="A115" s="4" t="s">
        <v>1421</v>
      </c>
      <c r="B115" s="4" t="s">
        <v>1409</v>
      </c>
      <c r="C115" s="4" t="s">
        <v>1422</v>
      </c>
      <c r="D115" s="4" t="s">
        <v>1423</v>
      </c>
      <c r="E115" s="4" t="s">
        <v>1424</v>
      </c>
      <c r="F115" s="4" t="s">
        <v>1134</v>
      </c>
      <c r="G115" s="4" t="s">
        <v>1425</v>
      </c>
      <c r="H115" s="4" t="s">
        <v>1426</v>
      </c>
      <c r="I115" s="4" t="s">
        <v>1427</v>
      </c>
      <c r="J115" s="4" t="s">
        <v>1428</v>
      </c>
      <c r="K115" s="4" t="s">
        <v>1429</v>
      </c>
      <c r="L115" s="4" t="s">
        <v>1430</v>
      </c>
      <c r="M115" s="4" t="s">
        <v>581</v>
      </c>
      <c r="N115" s="4" t="s">
        <v>1431</v>
      </c>
      <c r="O115" s="4">
        <v>1</v>
      </c>
      <c r="P115" s="4"/>
    </row>
    <row r="116" spans="1:16" ht="42.65" customHeight="1">
      <c r="A116" s="5" t="s">
        <v>1432</v>
      </c>
      <c r="B116" s="5" t="s">
        <v>1433</v>
      </c>
      <c r="C116" s="5" t="s">
        <v>1434</v>
      </c>
      <c r="D116" s="5" t="s">
        <v>1435</v>
      </c>
      <c r="E116" s="5" t="s">
        <v>1436</v>
      </c>
      <c r="F116" s="5" t="s">
        <v>1437</v>
      </c>
      <c r="G116" s="5" t="s">
        <v>1438</v>
      </c>
      <c r="H116" s="5" t="s">
        <v>1439</v>
      </c>
      <c r="I116" s="5" t="s">
        <v>1440</v>
      </c>
      <c r="J116" s="5" t="s">
        <v>1441</v>
      </c>
      <c r="K116" s="5" t="s">
        <v>1442</v>
      </c>
      <c r="L116" s="5" t="s">
        <v>1443</v>
      </c>
      <c r="M116" s="5" t="s">
        <v>1444</v>
      </c>
      <c r="N116" s="5" t="s">
        <v>1445</v>
      </c>
      <c r="O116" s="5">
        <v>2</v>
      </c>
      <c r="P116" s="5" t="s">
        <v>1446</v>
      </c>
    </row>
    <row r="117" spans="1:16" ht="42.65" customHeight="1">
      <c r="A117" s="4" t="s">
        <v>1447</v>
      </c>
      <c r="B117" s="4" t="s">
        <v>1448</v>
      </c>
      <c r="C117" s="4" t="s">
        <v>1449</v>
      </c>
      <c r="D117" s="4" t="s">
        <v>1450</v>
      </c>
      <c r="E117" s="4" t="s">
        <v>1451</v>
      </c>
      <c r="F117" s="4" t="s">
        <v>1159</v>
      </c>
      <c r="G117" s="4" t="s">
        <v>1160</v>
      </c>
      <c r="H117" s="4" t="s">
        <v>1452</v>
      </c>
      <c r="I117" s="4" t="s">
        <v>1453</v>
      </c>
      <c r="J117" s="4" t="s">
        <v>1454</v>
      </c>
      <c r="K117" s="4" t="s">
        <v>1455</v>
      </c>
      <c r="L117" s="4" t="s">
        <v>1456</v>
      </c>
      <c r="M117" s="4" t="s">
        <v>581</v>
      </c>
      <c r="N117" s="4" t="s">
        <v>1457</v>
      </c>
      <c r="O117" s="4">
        <v>1</v>
      </c>
      <c r="P117" s="4"/>
    </row>
    <row r="118" spans="1:16" ht="42.65" customHeight="1">
      <c r="A118" s="5" t="s">
        <v>1458</v>
      </c>
      <c r="B118" s="5" t="s">
        <v>1459</v>
      </c>
      <c r="C118" s="5" t="s">
        <v>1460</v>
      </c>
      <c r="D118" s="5" t="s">
        <v>1461</v>
      </c>
      <c r="E118" s="5" t="s">
        <v>1462</v>
      </c>
      <c r="F118" s="5" t="s">
        <v>1134</v>
      </c>
      <c r="G118" s="5" t="s">
        <v>1135</v>
      </c>
      <c r="H118" s="5" t="s">
        <v>1463</v>
      </c>
      <c r="I118" s="5" t="s">
        <v>1464</v>
      </c>
      <c r="J118" s="5" t="s">
        <v>1465</v>
      </c>
      <c r="K118" s="5" t="s">
        <v>1466</v>
      </c>
      <c r="L118" s="5" t="s">
        <v>1467</v>
      </c>
      <c r="M118" s="5" t="s">
        <v>1468</v>
      </c>
      <c r="N118" s="5" t="s">
        <v>1469</v>
      </c>
      <c r="O118" s="5">
        <v>2</v>
      </c>
      <c r="P118" s="5" t="s">
        <v>1470</v>
      </c>
    </row>
    <row r="119" spans="1:16" ht="42.65" customHeight="1">
      <c r="A119" s="4" t="s">
        <v>1471</v>
      </c>
      <c r="B119" s="4" t="s">
        <v>1472</v>
      </c>
      <c r="C119" s="4" t="s">
        <v>1473</v>
      </c>
      <c r="D119" s="4" t="s">
        <v>1474</v>
      </c>
      <c r="E119" s="4" t="s">
        <v>671</v>
      </c>
      <c r="F119" s="4" t="s">
        <v>685</v>
      </c>
      <c r="G119" s="4" t="s">
        <v>1475</v>
      </c>
      <c r="H119" s="4" t="s">
        <v>1476</v>
      </c>
      <c r="I119" s="4" t="s">
        <v>1477</v>
      </c>
      <c r="J119" s="4" t="s">
        <v>1478</v>
      </c>
      <c r="K119" s="4" t="s">
        <v>1479</v>
      </c>
      <c r="L119" s="4" t="s">
        <v>1480</v>
      </c>
      <c r="M119" s="4" t="s">
        <v>581</v>
      </c>
      <c r="N119" s="4" t="s">
        <v>1481</v>
      </c>
      <c r="O119" s="4">
        <v>1</v>
      </c>
      <c r="P119" s="4"/>
    </row>
    <row r="120" spans="1:16" ht="42.65" customHeight="1">
      <c r="A120" s="4" t="s">
        <v>1482</v>
      </c>
      <c r="B120" s="4" t="s">
        <v>1483</v>
      </c>
      <c r="C120" s="4" t="s">
        <v>1484</v>
      </c>
      <c r="D120" s="4" t="s">
        <v>1485</v>
      </c>
      <c r="E120" s="4" t="s">
        <v>1486</v>
      </c>
      <c r="F120" s="4" t="s">
        <v>1487</v>
      </c>
      <c r="G120" s="4" t="s">
        <v>1488</v>
      </c>
      <c r="H120" s="4" t="s">
        <v>1489</v>
      </c>
      <c r="I120" s="4" t="s">
        <v>1490</v>
      </c>
      <c r="J120" s="4" t="s">
        <v>1491</v>
      </c>
      <c r="K120" s="4" t="s">
        <v>1492</v>
      </c>
      <c r="L120" s="4" t="s">
        <v>1493</v>
      </c>
      <c r="M120" s="4" t="s">
        <v>581</v>
      </c>
      <c r="N120" s="4" t="s">
        <v>1494</v>
      </c>
      <c r="O120" s="4">
        <v>1</v>
      </c>
      <c r="P120" s="4" t="s">
        <v>1495</v>
      </c>
    </row>
    <row r="121" spans="1:16" ht="42.65" customHeight="1">
      <c r="A121" s="5" t="s">
        <v>1496</v>
      </c>
      <c r="B121" s="5" t="s">
        <v>1497</v>
      </c>
      <c r="C121" s="5" t="s">
        <v>1498</v>
      </c>
      <c r="D121" s="5" t="s">
        <v>1499</v>
      </c>
      <c r="E121" s="5" t="s">
        <v>1195</v>
      </c>
      <c r="F121" s="5" t="s">
        <v>1500</v>
      </c>
      <c r="G121" s="5" t="s">
        <v>1501</v>
      </c>
      <c r="H121" s="5" t="s">
        <v>1502</v>
      </c>
      <c r="I121" s="5" t="s">
        <v>1503</v>
      </c>
      <c r="J121" s="5" t="s">
        <v>1504</v>
      </c>
      <c r="K121" s="5" t="s">
        <v>1505</v>
      </c>
      <c r="L121" s="5" t="s">
        <v>1506</v>
      </c>
      <c r="M121" s="5" t="s">
        <v>1201</v>
      </c>
      <c r="N121" s="5" t="s">
        <v>1507</v>
      </c>
      <c r="O121" s="5">
        <v>2</v>
      </c>
      <c r="P121" s="5"/>
    </row>
    <row r="122" spans="1:16" ht="42.65" customHeight="1">
      <c r="A122" s="4" t="s">
        <v>1508</v>
      </c>
      <c r="B122" s="4" t="s">
        <v>1509</v>
      </c>
      <c r="C122" s="4" t="s">
        <v>1510</v>
      </c>
      <c r="D122" s="4" t="s">
        <v>1511</v>
      </c>
      <c r="E122" s="4" t="s">
        <v>1512</v>
      </c>
      <c r="F122" s="4" t="s">
        <v>888</v>
      </c>
      <c r="G122" s="4" t="s">
        <v>1513</v>
      </c>
      <c r="H122" s="4" t="s">
        <v>1514</v>
      </c>
      <c r="I122" s="4" t="s">
        <v>1515</v>
      </c>
      <c r="J122" s="4" t="s">
        <v>1516</v>
      </c>
      <c r="K122" s="4" t="s">
        <v>1517</v>
      </c>
      <c r="L122" s="4" t="s">
        <v>1518</v>
      </c>
      <c r="M122" s="4" t="s">
        <v>1201</v>
      </c>
      <c r="N122" s="4" t="s">
        <v>1519</v>
      </c>
      <c r="O122" s="4">
        <v>1</v>
      </c>
      <c r="P122" s="4"/>
    </row>
    <row r="123" spans="1:16" ht="42.65" customHeight="1">
      <c r="A123" s="5" t="s">
        <v>1520</v>
      </c>
      <c r="B123" s="5" t="s">
        <v>1521</v>
      </c>
      <c r="C123" s="5" t="s">
        <v>1522</v>
      </c>
      <c r="D123" s="5" t="s">
        <v>1523</v>
      </c>
      <c r="E123" s="5" t="s">
        <v>1524</v>
      </c>
      <c r="F123" s="5" t="s">
        <v>1134</v>
      </c>
      <c r="G123" s="5" t="s">
        <v>1135</v>
      </c>
      <c r="H123" s="5" t="s">
        <v>1525</v>
      </c>
      <c r="I123" s="5" t="s">
        <v>1526</v>
      </c>
      <c r="J123" s="5" t="s">
        <v>1527</v>
      </c>
      <c r="K123" s="5" t="s">
        <v>1528</v>
      </c>
      <c r="L123" s="5" t="s">
        <v>1529</v>
      </c>
      <c r="M123" s="5" t="s">
        <v>1530</v>
      </c>
      <c r="N123" s="5" t="s">
        <v>1531</v>
      </c>
      <c r="O123" s="5">
        <v>2</v>
      </c>
      <c r="P123" s="5" t="s">
        <v>1532</v>
      </c>
    </row>
    <row r="124" spans="1:16" ht="42.65" customHeight="1">
      <c r="A124" s="4" t="s">
        <v>1533</v>
      </c>
      <c r="B124" s="4" t="s">
        <v>1534</v>
      </c>
      <c r="C124" s="4" t="s">
        <v>1535</v>
      </c>
      <c r="D124" s="4" t="s">
        <v>1536</v>
      </c>
      <c r="E124" s="4" t="s">
        <v>1537</v>
      </c>
      <c r="F124" s="4" t="s">
        <v>1281</v>
      </c>
      <c r="G124" s="4" t="s">
        <v>1538</v>
      </c>
      <c r="H124" s="4" t="s">
        <v>1539</v>
      </c>
      <c r="I124" s="4" t="s">
        <v>1540</v>
      </c>
      <c r="J124" s="4" t="s">
        <v>1541</v>
      </c>
      <c r="K124" s="4" t="s">
        <v>1542</v>
      </c>
      <c r="L124" s="4" t="s">
        <v>1543</v>
      </c>
      <c r="M124" s="4" t="s">
        <v>104</v>
      </c>
      <c r="N124" s="4" t="s">
        <v>1544</v>
      </c>
      <c r="O124" s="4">
        <v>1</v>
      </c>
      <c r="P124" s="4" t="s">
        <v>1545</v>
      </c>
    </row>
    <row r="125" spans="1:16" ht="42.65" customHeight="1">
      <c r="A125" s="4" t="s">
        <v>1546</v>
      </c>
      <c r="B125" s="4" t="s">
        <v>1534</v>
      </c>
      <c r="C125" s="4" t="s">
        <v>1547</v>
      </c>
      <c r="D125" s="4" t="s">
        <v>1548</v>
      </c>
      <c r="E125" s="4" t="s">
        <v>1549</v>
      </c>
      <c r="F125" s="4" t="s">
        <v>1550</v>
      </c>
      <c r="G125" s="4" t="s">
        <v>1551</v>
      </c>
      <c r="H125" s="4" t="s">
        <v>1552</v>
      </c>
      <c r="I125" s="4" t="s">
        <v>1553</v>
      </c>
      <c r="J125" s="4" t="s">
        <v>1554</v>
      </c>
      <c r="K125" s="4" t="s">
        <v>1555</v>
      </c>
      <c r="L125" s="4" t="s">
        <v>1556</v>
      </c>
      <c r="M125" s="4" t="s">
        <v>1557</v>
      </c>
      <c r="N125" s="4" t="s">
        <v>1558</v>
      </c>
      <c r="O125" s="4">
        <v>1</v>
      </c>
      <c r="P125" s="4"/>
    </row>
    <row r="126" spans="1:16" ht="42.65" customHeight="1">
      <c r="A126" s="4" t="s">
        <v>1559</v>
      </c>
      <c r="B126" s="4" t="s">
        <v>1560</v>
      </c>
      <c r="C126" s="4" t="s">
        <v>1561</v>
      </c>
      <c r="D126" s="4" t="s">
        <v>1562</v>
      </c>
      <c r="E126" s="4" t="s">
        <v>1563</v>
      </c>
      <c r="F126" s="4" t="s">
        <v>1550</v>
      </c>
      <c r="G126" s="4" t="s">
        <v>1564</v>
      </c>
      <c r="H126" s="4" t="s">
        <v>1565</v>
      </c>
      <c r="I126" s="4" t="s">
        <v>1566</v>
      </c>
      <c r="J126" s="4" t="s">
        <v>1567</v>
      </c>
      <c r="K126" s="4" t="s">
        <v>1568</v>
      </c>
      <c r="L126" s="4" t="s">
        <v>1569</v>
      </c>
      <c r="M126" s="4" t="s">
        <v>104</v>
      </c>
      <c r="N126" s="4" t="s">
        <v>1570</v>
      </c>
      <c r="O126" s="4">
        <v>1</v>
      </c>
      <c r="P126" s="4"/>
    </row>
    <row r="127" spans="1:16" ht="42.65" customHeight="1">
      <c r="A127" s="4" t="s">
        <v>1571</v>
      </c>
      <c r="B127" s="4" t="s">
        <v>1572</v>
      </c>
      <c r="C127" s="4" t="s">
        <v>1573</v>
      </c>
      <c r="D127" s="4" t="s">
        <v>1574</v>
      </c>
      <c r="E127" s="4" t="s">
        <v>1575</v>
      </c>
      <c r="F127" s="4" t="s">
        <v>1576</v>
      </c>
      <c r="G127" s="4" t="s">
        <v>1577</v>
      </c>
      <c r="H127" s="4" t="s">
        <v>1578</v>
      </c>
      <c r="I127" s="4" t="s">
        <v>1579</v>
      </c>
      <c r="J127" s="4" t="s">
        <v>1580</v>
      </c>
      <c r="K127" s="4" t="s">
        <v>1581</v>
      </c>
      <c r="L127" s="4" t="s">
        <v>1582</v>
      </c>
      <c r="M127" s="4" t="s">
        <v>1583</v>
      </c>
      <c r="N127" s="4" t="s">
        <v>1584</v>
      </c>
      <c r="O127" s="4">
        <v>1</v>
      </c>
      <c r="P127" s="4"/>
    </row>
    <row r="128" spans="1:16" ht="42.65" customHeight="1">
      <c r="A128" s="5" t="s">
        <v>1585</v>
      </c>
      <c r="B128" s="5" t="s">
        <v>1586</v>
      </c>
      <c r="C128" s="5" t="s">
        <v>1587</v>
      </c>
      <c r="D128" s="5" t="s">
        <v>1574</v>
      </c>
      <c r="E128" s="5" t="s">
        <v>1575</v>
      </c>
      <c r="F128" s="5" t="s">
        <v>1576</v>
      </c>
      <c r="G128" s="5" t="s">
        <v>1577</v>
      </c>
      <c r="H128" s="5" t="s">
        <v>1578</v>
      </c>
      <c r="I128" s="5" t="s">
        <v>1588</v>
      </c>
      <c r="J128" s="5" t="s">
        <v>1589</v>
      </c>
      <c r="K128" s="5" t="s">
        <v>1590</v>
      </c>
      <c r="L128" s="5" t="s">
        <v>1591</v>
      </c>
      <c r="M128" s="5" t="s">
        <v>1583</v>
      </c>
      <c r="N128" s="5" t="s">
        <v>1592</v>
      </c>
      <c r="O128" s="5">
        <v>2</v>
      </c>
      <c r="P128" s="5" t="s">
        <v>1593</v>
      </c>
    </row>
    <row r="129" spans="1:16" ht="42.65" customHeight="1">
      <c r="A129" s="6" t="s">
        <v>1594</v>
      </c>
      <c r="B129" s="6" t="s">
        <v>1586</v>
      </c>
      <c r="C129" s="6" t="s">
        <v>1595</v>
      </c>
      <c r="D129" s="6" t="s">
        <v>1596</v>
      </c>
      <c r="E129" s="6" t="s">
        <v>1597</v>
      </c>
      <c r="F129" s="6" t="s">
        <v>1598</v>
      </c>
      <c r="G129" s="6" t="s">
        <v>1599</v>
      </c>
      <c r="H129" s="6" t="s">
        <v>1600</v>
      </c>
      <c r="I129" s="6" t="s">
        <v>1601</v>
      </c>
      <c r="J129" s="6" t="s">
        <v>1602</v>
      </c>
      <c r="K129" s="6" t="s">
        <v>1603</v>
      </c>
      <c r="L129" s="6" t="s">
        <v>1604</v>
      </c>
      <c r="M129" s="6" t="s">
        <v>1468</v>
      </c>
      <c r="N129" s="6" t="s">
        <v>1605</v>
      </c>
      <c r="O129" s="6">
        <v>3</v>
      </c>
      <c r="P129" s="6" t="s">
        <v>1606</v>
      </c>
    </row>
    <row r="130" spans="1:16" ht="42.65" customHeight="1">
      <c r="A130" s="5" t="s">
        <v>1607</v>
      </c>
      <c r="B130" s="5" t="s">
        <v>1608</v>
      </c>
      <c r="C130" s="5" t="s">
        <v>1609</v>
      </c>
      <c r="D130" s="5" t="s">
        <v>1610</v>
      </c>
      <c r="E130" s="5" t="s">
        <v>1230</v>
      </c>
      <c r="F130" s="5" t="s">
        <v>888</v>
      </c>
      <c r="G130" s="5" t="s">
        <v>1611</v>
      </c>
      <c r="H130" s="5" t="s">
        <v>1612</v>
      </c>
      <c r="I130" s="5" t="s">
        <v>1613</v>
      </c>
      <c r="J130" s="5" t="s">
        <v>1614</v>
      </c>
      <c r="K130" s="5" t="s">
        <v>1615</v>
      </c>
      <c r="L130" s="5" t="s">
        <v>1616</v>
      </c>
      <c r="M130" s="5" t="s">
        <v>1380</v>
      </c>
      <c r="N130" s="5" t="s">
        <v>1617</v>
      </c>
      <c r="O130" s="5">
        <v>2</v>
      </c>
      <c r="P130" s="5" t="s">
        <v>1618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1"/>
  <sheetViews>
    <sheetView workbookViewId="0"/>
  </sheetViews>
  <sheetFormatPr defaultRowHeight="14"/>
  <cols>
    <col min="1" max="1" width="35" customWidth="1"/>
    <col min="2" max="2" width="14" customWidth="1"/>
    <col min="3" max="3" width="12" customWidth="1"/>
    <col min="5" max="5" width="24" customWidth="1"/>
    <col min="6" max="6" width="12" customWidth="1"/>
    <col min="7" max="7" width="52" customWidth="1"/>
  </cols>
  <sheetData>
    <row r="1" spans="1:8">
      <c r="A1" s="7" t="s">
        <v>1619</v>
      </c>
      <c r="B1" s="7"/>
      <c r="C1" s="7"/>
      <c r="D1" s="7"/>
      <c r="E1" s="7"/>
      <c r="F1" s="7"/>
      <c r="G1" s="7"/>
      <c r="H1" s="7"/>
    </row>
    <row r="3" spans="1:8">
      <c r="A3" s="2" t="s">
        <v>1620</v>
      </c>
      <c r="B3" s="2" t="s">
        <v>1621</v>
      </c>
    </row>
    <row r="4" spans="1:8">
      <c r="A4" s="1" t="s">
        <v>1622</v>
      </c>
      <c r="B4" s="1">
        <f>COUNTA(Experiments!A2:A130)</f>
        <v>129</v>
      </c>
    </row>
    <row r="5" spans="1:8">
      <c r="A5" s="1" t="s">
        <v>1623</v>
      </c>
      <c r="B5" s="1" t="e">
        <f>MIN(Experiments!#REF!)</f>
        <v>#REF!</v>
      </c>
    </row>
    <row r="6" spans="1:8">
      <c r="A6" s="1" t="s">
        <v>1624</v>
      </c>
      <c r="B6" s="1" t="e">
        <f>MAX(Experiments!#REF!)</f>
        <v>#REF!</v>
      </c>
    </row>
    <row r="7" spans="1:8">
      <c r="A7" s="1" t="s">
        <v>1625</v>
      </c>
      <c r="B7" s="1">
        <f>COUNTIF(Experiments!O2:O130,1)</f>
        <v>102</v>
      </c>
    </row>
    <row r="8" spans="1:8">
      <c r="A8" s="1" t="s">
        <v>1626</v>
      </c>
      <c r="B8" s="1">
        <v>31</v>
      </c>
    </row>
    <row r="10" spans="1:8">
      <c r="A10" s="2" t="s">
        <v>25</v>
      </c>
      <c r="B10" s="2" t="s">
        <v>1627</v>
      </c>
      <c r="C10" s="2" t="s">
        <v>1628</v>
      </c>
      <c r="E10" s="2" t="s">
        <v>34</v>
      </c>
      <c r="F10" s="2" t="s">
        <v>1627</v>
      </c>
      <c r="G10" s="2" t="s">
        <v>1629</v>
      </c>
    </row>
    <row r="11" spans="1:8">
      <c r="A11" s="1" t="s">
        <v>265</v>
      </c>
      <c r="B11" s="1">
        <f>COUNTIF(Experiments!F$2:F$130,A11)</f>
        <v>1</v>
      </c>
      <c r="C11" s="3">
        <f t="shared" ref="C11:C42" si="0">B11/$B$4</f>
        <v>7.7519379844961239E-3</v>
      </c>
      <c r="E11" s="1">
        <v>1</v>
      </c>
      <c r="F11" s="1">
        <f>COUNTIF(Experiments!O$2:O$130,E11)</f>
        <v>102</v>
      </c>
      <c r="G11" s="1" t="s">
        <v>1630</v>
      </c>
    </row>
    <row r="12" spans="1:8">
      <c r="A12" s="1" t="s">
        <v>41</v>
      </c>
      <c r="B12" s="1">
        <f>COUNTIF(Experiments!F$2:F$130,A12)</f>
        <v>1</v>
      </c>
      <c r="C12" s="3">
        <f t="shared" si="0"/>
        <v>7.7519379844961239E-3</v>
      </c>
      <c r="E12" s="1">
        <v>2</v>
      </c>
      <c r="F12" s="1">
        <f>COUNTIF(Experiments!O$2:O$130,E12)</f>
        <v>21</v>
      </c>
      <c r="G12" s="1" t="s">
        <v>1631</v>
      </c>
    </row>
    <row r="13" spans="1:8">
      <c r="A13" s="1" t="s">
        <v>212</v>
      </c>
      <c r="B13" s="1">
        <f>COUNTIF(Experiments!F$2:F$130,A13)</f>
        <v>1</v>
      </c>
      <c r="C13" s="3">
        <f t="shared" si="0"/>
        <v>7.7519379844961239E-3</v>
      </c>
      <c r="E13" s="1">
        <v>3</v>
      </c>
      <c r="F13" s="1">
        <f>COUNTIF(Experiments!O$2:O$130,E13)</f>
        <v>6</v>
      </c>
      <c r="G13" s="1" t="s">
        <v>1632</v>
      </c>
    </row>
    <row r="14" spans="1:8">
      <c r="A14" s="1" t="s">
        <v>1159</v>
      </c>
      <c r="B14" s="1">
        <f>COUNTIF(Experiments!F$2:F$130,A14)</f>
        <v>3</v>
      </c>
      <c r="C14" s="3">
        <f t="shared" si="0"/>
        <v>2.3255813953488372E-2</v>
      </c>
    </row>
    <row r="15" spans="1:8">
      <c r="A15" s="1" t="s">
        <v>1598</v>
      </c>
      <c r="B15" s="1">
        <f>COUNTIF(Experiments!F$2:F$130,A15)</f>
        <v>1</v>
      </c>
      <c r="C15" s="3">
        <f t="shared" si="0"/>
        <v>7.7519379844961239E-3</v>
      </c>
    </row>
    <row r="16" spans="1:8">
      <c r="A16" s="1" t="s">
        <v>1576</v>
      </c>
      <c r="B16" s="1">
        <f>COUNTIF(Experiments!F$2:F$130,A16)</f>
        <v>2</v>
      </c>
      <c r="C16" s="3">
        <f t="shared" si="0"/>
        <v>1.5503875968992248E-2</v>
      </c>
      <c r="E16" s="2" t="s">
        <v>1633</v>
      </c>
      <c r="F16" s="2" t="s">
        <v>1627</v>
      </c>
    </row>
    <row r="17" spans="1:6">
      <c r="A17" s="1" t="s">
        <v>936</v>
      </c>
      <c r="B17" s="1">
        <f>COUNTIF(Experiments!F$2:F$130,A17)</f>
        <v>1</v>
      </c>
      <c r="C17" s="3">
        <f t="shared" si="0"/>
        <v>7.7519379844961239E-3</v>
      </c>
      <c r="E17" s="1" t="s">
        <v>1634</v>
      </c>
      <c r="F17" s="1" t="e">
        <f>COUNTIFS(Experiments!#REF!,"&lt;1500")</f>
        <v>#REF!</v>
      </c>
    </row>
    <row r="18" spans="1:6" ht="28">
      <c r="A18" s="1" t="s">
        <v>962</v>
      </c>
      <c r="B18" s="1">
        <f>COUNTIF(Experiments!F$2:F$130,A18)</f>
        <v>1</v>
      </c>
      <c r="C18" s="3">
        <f t="shared" si="0"/>
        <v>7.7519379844961239E-3</v>
      </c>
      <c r="E18" s="1" t="s">
        <v>1635</v>
      </c>
      <c r="F18" s="1" t="e">
        <f>COUNTIFS(Experiments!#REF!,"&gt;=1500",Experiments!#REF!,"&lt;1800")</f>
        <v>#REF!</v>
      </c>
    </row>
    <row r="19" spans="1:6">
      <c r="A19" s="1" t="s">
        <v>1487</v>
      </c>
      <c r="B19" s="1">
        <f>COUNTIF(Experiments!F$2:F$130,A19)</f>
        <v>1</v>
      </c>
      <c r="C19" s="3">
        <f t="shared" si="0"/>
        <v>7.7519379844961239E-3</v>
      </c>
      <c r="E19" s="1" t="s">
        <v>1636</v>
      </c>
      <c r="F19" s="1" t="e">
        <f>COUNTIFS(Experiments!#REF!,"&gt;=1800",Experiments!#REF!,"&lt;1900")</f>
        <v>#REF!</v>
      </c>
    </row>
    <row r="20" spans="1:6">
      <c r="A20" s="1" t="s">
        <v>1500</v>
      </c>
      <c r="B20" s="1">
        <f>COUNTIF(Experiments!F$2:F$130,A20)</f>
        <v>1</v>
      </c>
      <c r="C20" s="3">
        <f t="shared" si="0"/>
        <v>7.7519379844961239E-3</v>
      </c>
      <c r="E20" s="1" t="s">
        <v>1637</v>
      </c>
      <c r="F20" s="1" t="e">
        <f>COUNTIFS(Experiments!#REF!,"&gt;=1900",Experiments!#REF!,"&lt;=1945")</f>
        <v>#REF!</v>
      </c>
    </row>
    <row r="21" spans="1:6">
      <c r="A21" s="1" t="s">
        <v>514</v>
      </c>
      <c r="B21" s="1">
        <f>COUNTIF(Experiments!F$2:F$130,A21)</f>
        <v>1</v>
      </c>
      <c r="C21" s="3">
        <f t="shared" si="0"/>
        <v>7.7519379844961239E-3</v>
      </c>
      <c r="E21" s="1" t="s">
        <v>1638</v>
      </c>
      <c r="F21" s="1" t="e">
        <f>COUNTIFS(Experiments!#REF!,"&gt;=1946",Experiments!#REF!,"&lt;=1979")</f>
        <v>#REF!</v>
      </c>
    </row>
    <row r="22" spans="1:6">
      <c r="A22" s="1" t="s">
        <v>613</v>
      </c>
      <c r="B22" s="1">
        <f>COUNTIF(Experiments!F$2:F$130,A22)</f>
        <v>4</v>
      </c>
      <c r="C22" s="3">
        <f t="shared" si="0"/>
        <v>3.1007751937984496E-2</v>
      </c>
      <c r="E22" s="1" t="s">
        <v>1639</v>
      </c>
      <c r="F22" s="1" t="e">
        <f>COUNTIFS(Experiments!#REF!,"&gt;=1980",Experiments!#REF!,"&lt;=1999")</f>
        <v>#REF!</v>
      </c>
    </row>
    <row r="23" spans="1:6">
      <c r="A23" s="1" t="s">
        <v>1386</v>
      </c>
      <c r="B23" s="1">
        <f>COUNTIF(Experiments!F$2:F$130,A23)</f>
        <v>1</v>
      </c>
      <c r="C23" s="3">
        <f t="shared" si="0"/>
        <v>7.7519379844961239E-3</v>
      </c>
      <c r="E23" s="1" t="s">
        <v>1640</v>
      </c>
      <c r="F23" s="1" t="e">
        <f>COUNTIFS(Experiments!#REF!,"&gt;=2000")</f>
        <v>#REF!</v>
      </c>
    </row>
    <row r="24" spans="1:6">
      <c r="A24" s="1" t="s">
        <v>574</v>
      </c>
      <c r="B24" s="1">
        <f>COUNTIF(Experiments!F$2:F$130,A24)</f>
        <v>1</v>
      </c>
      <c r="C24" s="3">
        <f t="shared" si="0"/>
        <v>7.7519379844961239E-3</v>
      </c>
    </row>
    <row r="25" spans="1:6">
      <c r="A25" s="1" t="s">
        <v>600</v>
      </c>
      <c r="B25" s="1">
        <f>COUNTIF(Experiments!F$2:F$130,A25)</f>
        <v>1</v>
      </c>
      <c r="C25" s="3">
        <f t="shared" si="0"/>
        <v>7.7519379844961239E-3</v>
      </c>
    </row>
    <row r="26" spans="1:6">
      <c r="A26" s="1" t="s">
        <v>84</v>
      </c>
      <c r="B26" s="1">
        <f>COUNTIF(Experiments!F$2:F$130,A26)</f>
        <v>3</v>
      </c>
      <c r="C26" s="3">
        <f t="shared" si="0"/>
        <v>2.3255813953488372E-2</v>
      </c>
    </row>
    <row r="27" spans="1:6">
      <c r="A27" s="1" t="s">
        <v>455</v>
      </c>
      <c r="B27" s="1">
        <f>COUNTIF(Experiments!F$2:F$130,A27)</f>
        <v>1</v>
      </c>
      <c r="C27" s="3">
        <f t="shared" si="0"/>
        <v>7.7519379844961239E-3</v>
      </c>
    </row>
    <row r="28" spans="1:6">
      <c r="A28" s="1" t="s">
        <v>685</v>
      </c>
      <c r="B28" s="1">
        <f>COUNTIF(Experiments!F$2:F$130,A28)</f>
        <v>6</v>
      </c>
      <c r="C28" s="3">
        <f t="shared" si="0"/>
        <v>4.6511627906976744E-2</v>
      </c>
    </row>
    <row r="29" spans="1:6">
      <c r="A29" s="1" t="s">
        <v>709</v>
      </c>
      <c r="B29" s="1">
        <f>COUNTIF(Experiments!F$2:F$130,A29)</f>
        <v>1</v>
      </c>
      <c r="C29" s="3">
        <f t="shared" si="0"/>
        <v>7.7519379844961239E-3</v>
      </c>
    </row>
    <row r="30" spans="1:6">
      <c r="A30" s="1" t="s">
        <v>360</v>
      </c>
      <c r="B30" s="1">
        <f>COUNTIF(Experiments!F$2:F$130,A30)</f>
        <v>2</v>
      </c>
      <c r="C30" s="3">
        <f t="shared" si="0"/>
        <v>1.5503875968992248E-2</v>
      </c>
    </row>
    <row r="31" spans="1:6">
      <c r="A31" s="1" t="s">
        <v>1305</v>
      </c>
      <c r="B31" s="1">
        <f>COUNTIF(Experiments!F$2:F$130,A31)</f>
        <v>1</v>
      </c>
      <c r="C31" s="3">
        <f t="shared" si="0"/>
        <v>7.7519379844961239E-3</v>
      </c>
    </row>
    <row r="32" spans="1:6">
      <c r="A32" s="1" t="s">
        <v>1172</v>
      </c>
      <c r="B32" s="1">
        <f>COUNTIF(Experiments!F$2:F$130,A32)</f>
        <v>1</v>
      </c>
      <c r="C32" s="3">
        <f t="shared" si="0"/>
        <v>7.7519379844961239E-3</v>
      </c>
    </row>
    <row r="33" spans="1:3">
      <c r="A33" s="1" t="s">
        <v>1134</v>
      </c>
      <c r="B33" s="1">
        <f>COUNTIF(Experiments!F$2:F$130,A33)</f>
        <v>5</v>
      </c>
      <c r="C33" s="3">
        <f t="shared" si="0"/>
        <v>3.875968992248062E-2</v>
      </c>
    </row>
    <row r="34" spans="1:3">
      <c r="A34" s="1" t="s">
        <v>239</v>
      </c>
      <c r="B34" s="1">
        <f>COUNTIF(Experiments!F$2:F$130,A34)</f>
        <v>6</v>
      </c>
      <c r="C34" s="3">
        <f t="shared" si="0"/>
        <v>4.6511627906976744E-2</v>
      </c>
    </row>
    <row r="35" spans="1:3">
      <c r="A35" s="1" t="s">
        <v>397</v>
      </c>
      <c r="B35" s="1">
        <f>COUNTIF(Experiments!F$2:F$130,A35)</f>
        <v>1</v>
      </c>
      <c r="C35" s="3">
        <f t="shared" si="0"/>
        <v>7.7519379844961239E-3</v>
      </c>
    </row>
    <row r="36" spans="1:3">
      <c r="A36" s="1" t="s">
        <v>56</v>
      </c>
      <c r="B36" s="1">
        <f>COUNTIF(Experiments!F$2:F$130,A36)</f>
        <v>2</v>
      </c>
      <c r="C36" s="3">
        <f t="shared" si="0"/>
        <v>1.5503875968992248E-2</v>
      </c>
    </row>
    <row r="37" spans="1:3">
      <c r="A37" s="1" t="s">
        <v>124</v>
      </c>
      <c r="B37" s="1">
        <f>COUNTIF(Experiments!F$2:F$130,A37)</f>
        <v>2</v>
      </c>
      <c r="C37" s="3">
        <f t="shared" si="0"/>
        <v>1.5503875968992248E-2</v>
      </c>
    </row>
    <row r="38" spans="1:3">
      <c r="A38" s="1" t="s">
        <v>278</v>
      </c>
      <c r="B38" s="1">
        <f>COUNTIF(Experiments!F$2:F$130,A38)</f>
        <v>1</v>
      </c>
      <c r="C38" s="3">
        <f t="shared" si="0"/>
        <v>7.7519379844961239E-3</v>
      </c>
    </row>
    <row r="39" spans="1:3">
      <c r="A39" s="1" t="s">
        <v>1550</v>
      </c>
      <c r="B39" s="1">
        <f>COUNTIF(Experiments!F$2:F$130,A39)</f>
        <v>2</v>
      </c>
      <c r="C39" s="3">
        <f t="shared" si="0"/>
        <v>1.5503875968992248E-2</v>
      </c>
    </row>
    <row r="40" spans="1:3">
      <c r="A40" s="1" t="s">
        <v>672</v>
      </c>
      <c r="B40" s="1">
        <f>COUNTIF(Experiments!F$2:F$130,A40)</f>
        <v>1</v>
      </c>
      <c r="C40" s="3">
        <f t="shared" si="0"/>
        <v>7.7519379844961239E-3</v>
      </c>
    </row>
    <row r="41" spans="1:3">
      <c r="A41" s="1" t="s">
        <v>1437</v>
      </c>
      <c r="B41" s="1">
        <f>COUNTIF(Experiments!F$2:F$130,A41)</f>
        <v>1</v>
      </c>
      <c r="C41" s="3">
        <f t="shared" si="0"/>
        <v>7.7519379844961239E-3</v>
      </c>
    </row>
    <row r="42" spans="1:3">
      <c r="A42" s="1" t="s">
        <v>1057</v>
      </c>
      <c r="B42" s="1">
        <f>COUNTIF(Experiments!F$2:F$130,A42)</f>
        <v>1</v>
      </c>
      <c r="C42" s="3">
        <f t="shared" si="0"/>
        <v>7.7519379844961239E-3</v>
      </c>
    </row>
    <row r="43" spans="1:3">
      <c r="A43" s="1" t="s">
        <v>587</v>
      </c>
      <c r="B43" s="1">
        <f>COUNTIF(Experiments!F$2:F$130,A43)</f>
        <v>8</v>
      </c>
      <c r="C43" s="3">
        <f t="shared" ref="C43:C74" si="1">B43/$B$4</f>
        <v>6.2015503875968991E-2</v>
      </c>
    </row>
    <row r="44" spans="1:3">
      <c r="A44" s="1" t="s">
        <v>70</v>
      </c>
      <c r="B44" s="1">
        <f>COUNTIF(Experiments!F$2:F$130,A44)</f>
        <v>8</v>
      </c>
      <c r="C44" s="3">
        <f t="shared" si="1"/>
        <v>6.2015503875968991E-2</v>
      </c>
    </row>
    <row r="45" spans="1:3">
      <c r="A45" s="1" t="s">
        <v>198</v>
      </c>
      <c r="B45" s="1">
        <f>COUNTIF(Experiments!F$2:F$130,A45)</f>
        <v>1</v>
      </c>
      <c r="C45" s="3">
        <f t="shared" si="1"/>
        <v>7.7519379844961239E-3</v>
      </c>
    </row>
    <row r="46" spans="1:3">
      <c r="A46" s="1" t="s">
        <v>478</v>
      </c>
      <c r="B46" s="1">
        <f>COUNTIF(Experiments!F$2:F$130,A46)</f>
        <v>1</v>
      </c>
      <c r="C46" s="3">
        <f t="shared" si="1"/>
        <v>7.7519379844961239E-3</v>
      </c>
    </row>
    <row r="47" spans="1:3">
      <c r="A47" s="1" t="s">
        <v>421</v>
      </c>
      <c r="B47" s="1">
        <f>COUNTIF(Experiments!F$2:F$130,A47)</f>
        <v>1</v>
      </c>
      <c r="C47" s="3">
        <f t="shared" si="1"/>
        <v>7.7519379844961239E-3</v>
      </c>
    </row>
    <row r="48" spans="1:3">
      <c r="A48" s="1" t="s">
        <v>842</v>
      </c>
      <c r="B48" s="1">
        <f>COUNTIF(Experiments!F$2:F$130,A48)</f>
        <v>1</v>
      </c>
      <c r="C48" s="3">
        <f t="shared" si="1"/>
        <v>7.7519379844961239E-3</v>
      </c>
    </row>
    <row r="49" spans="1:3">
      <c r="A49" s="1" t="s">
        <v>1095</v>
      </c>
      <c r="B49" s="1">
        <f>COUNTIF(Experiments!F$2:F$130,A49)</f>
        <v>1</v>
      </c>
      <c r="C49" s="3">
        <f t="shared" si="1"/>
        <v>7.7519379844961239E-3</v>
      </c>
    </row>
    <row r="50" spans="1:3">
      <c r="A50" s="1" t="s">
        <v>538</v>
      </c>
      <c r="B50" s="1">
        <f>COUNTIF(Experiments!F$2:F$130,A50)</f>
        <v>1</v>
      </c>
      <c r="C50" s="3">
        <f t="shared" si="1"/>
        <v>7.7519379844961239E-3</v>
      </c>
    </row>
    <row r="51" spans="1:3">
      <c r="A51" s="1" t="s">
        <v>465</v>
      </c>
      <c r="B51" s="1">
        <f>COUNTIF(Experiments!F$2:F$130,A51)</f>
        <v>1</v>
      </c>
      <c r="C51" s="3">
        <f t="shared" si="1"/>
        <v>7.7519379844961239E-3</v>
      </c>
    </row>
    <row r="52" spans="1:3">
      <c r="A52" s="1" t="s">
        <v>1413</v>
      </c>
      <c r="B52" s="1">
        <f>COUNTIF(Experiments!F$2:F$130,A52)</f>
        <v>1</v>
      </c>
      <c r="C52" s="3">
        <f t="shared" si="1"/>
        <v>7.7519379844961239E-3</v>
      </c>
    </row>
    <row r="53" spans="1:3">
      <c r="A53" s="1" t="s">
        <v>696</v>
      </c>
      <c r="B53" s="1">
        <f>COUNTIF(Experiments!F$2:F$130,A53)</f>
        <v>1</v>
      </c>
      <c r="C53" s="3">
        <f t="shared" si="1"/>
        <v>7.7519379844961239E-3</v>
      </c>
    </row>
    <row r="54" spans="1:3">
      <c r="A54" s="1" t="s">
        <v>855</v>
      </c>
      <c r="B54" s="1">
        <f>COUNTIF(Experiments!F$2:F$130,A54)</f>
        <v>2</v>
      </c>
      <c r="C54" s="3">
        <f t="shared" si="1"/>
        <v>1.5503875968992248E-2</v>
      </c>
    </row>
    <row r="55" spans="1:3">
      <c r="A55" s="1" t="s">
        <v>888</v>
      </c>
      <c r="B55" s="1">
        <f>COUNTIF(Experiments!F$2:F$130,A55)</f>
        <v>16</v>
      </c>
      <c r="C55" s="3">
        <f t="shared" si="1"/>
        <v>0.12403100775193798</v>
      </c>
    </row>
    <row r="56" spans="1:3">
      <c r="A56" s="1" t="s">
        <v>1008</v>
      </c>
      <c r="B56" s="1">
        <f>COUNTIF(Experiments!F$2:F$130,A56)</f>
        <v>1</v>
      </c>
      <c r="C56" s="3">
        <f t="shared" si="1"/>
        <v>7.7519379844961239E-3</v>
      </c>
    </row>
    <row r="57" spans="1:3">
      <c r="A57" s="1" t="s">
        <v>1281</v>
      </c>
      <c r="B57" s="1">
        <f>COUNTIF(Experiments!F$2:F$130,A57)</f>
        <v>2</v>
      </c>
      <c r="C57" s="3">
        <f t="shared" si="1"/>
        <v>1.5503875968992248E-2</v>
      </c>
    </row>
    <row r="58" spans="1:3">
      <c r="A58" s="1" t="s">
        <v>1399</v>
      </c>
      <c r="B58" s="1">
        <f>COUNTIF(Experiments!F$2:F$130,A58)</f>
        <v>1</v>
      </c>
      <c r="C58" s="3">
        <f t="shared" si="1"/>
        <v>7.7519379844961239E-3</v>
      </c>
    </row>
    <row r="59" spans="1:3">
      <c r="A59" s="1" t="s">
        <v>744</v>
      </c>
      <c r="B59" s="1">
        <f>COUNTIF(Experiments!F$2:F$130,A59)</f>
        <v>3</v>
      </c>
      <c r="C59" s="3">
        <f t="shared" si="1"/>
        <v>2.3255813953488372E-2</v>
      </c>
    </row>
    <row r="60" spans="1:3">
      <c r="A60" s="1" t="s">
        <v>732</v>
      </c>
      <c r="B60" s="1">
        <f>COUNTIF(Experiments!F$2:F$130,A60)</f>
        <v>4</v>
      </c>
      <c r="C60" s="3">
        <f t="shared" si="1"/>
        <v>3.1007751937984496E-2</v>
      </c>
    </row>
    <row r="61" spans="1:3">
      <c r="A61" s="1" t="s">
        <v>829</v>
      </c>
      <c r="B61" s="1">
        <f>COUNTIF(Experiments!F$2:F$130,A61)</f>
        <v>1</v>
      </c>
      <c r="C61" s="3">
        <f t="shared" si="1"/>
        <v>7.7519379844961239E-3</v>
      </c>
    </row>
    <row r="62" spans="1:3">
      <c r="A62" s="1" t="s">
        <v>1243</v>
      </c>
      <c r="B62" s="1">
        <f>COUNTIF(Experiments!F$2:F$130,A62)</f>
        <v>1</v>
      </c>
      <c r="C62" s="3">
        <f t="shared" si="1"/>
        <v>7.7519379844961239E-3</v>
      </c>
    </row>
    <row r="63" spans="1:3">
      <c r="A63" s="1" t="s">
        <v>561</v>
      </c>
      <c r="B63" s="1">
        <f>COUNTIF(Experiments!F$2:F$130,A63)</f>
        <v>1</v>
      </c>
      <c r="C63" s="3">
        <f t="shared" si="1"/>
        <v>7.7519379844961239E-3</v>
      </c>
    </row>
    <row r="64" spans="1:3">
      <c r="A64" s="1" t="s">
        <v>816</v>
      </c>
      <c r="B64" s="1">
        <f>COUNTIF(Experiments!F$2:F$130,A64)</f>
        <v>1</v>
      </c>
      <c r="C64" s="3">
        <f t="shared" si="1"/>
        <v>7.7519379844961239E-3</v>
      </c>
    </row>
    <row r="65" spans="1:3">
      <c r="A65" s="1" t="s">
        <v>636</v>
      </c>
      <c r="B65" s="1">
        <f>COUNTIF(Experiments!F$2:F$130,A65)</f>
        <v>1</v>
      </c>
      <c r="C65" s="3">
        <f t="shared" si="1"/>
        <v>7.7519379844961239E-3</v>
      </c>
    </row>
    <row r="66" spans="1:3">
      <c r="A66" s="1" t="s">
        <v>1108</v>
      </c>
      <c r="B66" s="1">
        <f>COUNTIF(Experiments!F$2:F$130,A66)</f>
        <v>1</v>
      </c>
      <c r="C66" s="3">
        <f t="shared" si="1"/>
        <v>7.7519379844961239E-3</v>
      </c>
    </row>
    <row r="67" spans="1:3">
      <c r="A67" s="1" t="s">
        <v>757</v>
      </c>
      <c r="B67" s="1">
        <f>COUNTIF(Experiments!F$2:F$130,A67)</f>
        <v>3</v>
      </c>
      <c r="C67" s="3">
        <f t="shared" si="1"/>
        <v>2.3255813953488372E-2</v>
      </c>
    </row>
    <row r="68" spans="1:3">
      <c r="A68" s="1" t="s">
        <v>373</v>
      </c>
      <c r="B68" s="1">
        <f>COUNTIF(Experiments!F$2:F$130,A68)</f>
        <v>2</v>
      </c>
      <c r="C68" s="3">
        <f t="shared" si="1"/>
        <v>1.5503875968992248E-2</v>
      </c>
    </row>
    <row r="69" spans="1:3">
      <c r="A69" s="1" t="s">
        <v>225</v>
      </c>
      <c r="B69" s="1">
        <f>COUNTIF(Experiments!F$2:F$130,A69)</f>
        <v>4</v>
      </c>
      <c r="C69" s="3">
        <f t="shared" si="1"/>
        <v>3.1007751937984496E-2</v>
      </c>
    </row>
    <row r="70" spans="1:3">
      <c r="A70" s="1" t="s">
        <v>410</v>
      </c>
      <c r="B70" s="1">
        <f>COUNTIF(Experiments!F$2:F$130,A70)</f>
        <v>1</v>
      </c>
      <c r="C70" s="3">
        <f t="shared" si="1"/>
        <v>7.7519379844961239E-3</v>
      </c>
    </row>
    <row r="71" spans="1:3">
      <c r="A71" s="1" t="s">
        <v>161</v>
      </c>
      <c r="B71" s="1">
        <f>COUNTIF(Experiments!F$2:F$130,A71)</f>
        <v>1</v>
      </c>
      <c r="C71" s="3">
        <f t="shared" si="1"/>
        <v>7.7519379844961239E-3</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
  <sheetViews>
    <sheetView workbookViewId="0"/>
  </sheetViews>
  <sheetFormatPr defaultRowHeight="14"/>
  <cols>
    <col min="1" max="1" width="36" customWidth="1"/>
    <col min="2" max="2" width="66" customWidth="1"/>
    <col min="3" max="3" width="58" customWidth="1"/>
  </cols>
  <sheetData>
    <row r="1" spans="1:3">
      <c r="A1" s="2" t="s">
        <v>1641</v>
      </c>
      <c r="B1" s="2" t="s">
        <v>1642</v>
      </c>
      <c r="C1" s="2" t="s">
        <v>1643</v>
      </c>
    </row>
    <row r="2" spans="1:3" ht="28">
      <c r="A2" s="1" t="s">
        <v>1644</v>
      </c>
      <c r="B2" s="1" t="s">
        <v>1645</v>
      </c>
      <c r="C2" s="1" t="s">
        <v>1646</v>
      </c>
    </row>
    <row r="3" spans="1:3" ht="28">
      <c r="A3" s="1" t="s">
        <v>1647</v>
      </c>
      <c r="B3" s="1" t="s">
        <v>1648</v>
      </c>
      <c r="C3" s="1" t="s">
        <v>1649</v>
      </c>
    </row>
    <row r="4" spans="1:3">
      <c r="A4" s="1" t="s">
        <v>1650</v>
      </c>
      <c r="B4" s="1" t="s">
        <v>1651</v>
      </c>
      <c r="C4" s="1" t="s">
        <v>1652</v>
      </c>
    </row>
    <row r="5" spans="1:3">
      <c r="A5" s="1" t="s">
        <v>1653</v>
      </c>
      <c r="B5" s="1" t="s">
        <v>1654</v>
      </c>
      <c r="C5" s="1" t="s">
        <v>1655</v>
      </c>
    </row>
    <row r="6" spans="1:3">
      <c r="A6" s="1" t="s">
        <v>1656</v>
      </c>
      <c r="B6" s="1" t="s">
        <v>1657</v>
      </c>
      <c r="C6" s="1" t="s">
        <v>1658</v>
      </c>
    </row>
    <row r="7" spans="1:3">
      <c r="A7" s="1" t="s">
        <v>1659</v>
      </c>
      <c r="B7" s="1" t="s">
        <v>1660</v>
      </c>
      <c r="C7" s="1" t="s">
        <v>1661</v>
      </c>
    </row>
    <row r="8" spans="1:3">
      <c r="A8" s="1" t="s">
        <v>1662</v>
      </c>
      <c r="B8" s="1" t="s">
        <v>1663</v>
      </c>
      <c r="C8" s="1" t="s">
        <v>1664</v>
      </c>
    </row>
    <row r="9" spans="1:3">
      <c r="A9" s="1" t="s">
        <v>1665</v>
      </c>
      <c r="B9" s="1" t="s">
        <v>1666</v>
      </c>
      <c r="C9" s="1" t="s">
        <v>1667</v>
      </c>
    </row>
    <row r="10" spans="1:3">
      <c r="A10" s="1" t="s">
        <v>1668</v>
      </c>
      <c r="B10" s="1" t="s">
        <v>1669</v>
      </c>
      <c r="C10" s="1" t="s">
        <v>1670</v>
      </c>
    </row>
    <row r="11" spans="1:3">
      <c r="A11" s="1" t="s">
        <v>1671</v>
      </c>
      <c r="B11" s="1" t="s">
        <v>1672</v>
      </c>
      <c r="C11" s="1" t="s">
        <v>1673</v>
      </c>
    </row>
    <row r="12" spans="1:3">
      <c r="A12" s="1" t="s">
        <v>1674</v>
      </c>
      <c r="B12" s="1" t="s">
        <v>1675</v>
      </c>
      <c r="C12" s="1" t="s">
        <v>1676</v>
      </c>
    </row>
    <row r="13" spans="1:3">
      <c r="A13" s="1" t="s">
        <v>1677</v>
      </c>
      <c r="B13" s="1" t="s">
        <v>1678</v>
      </c>
      <c r="C13" s="1" t="s">
        <v>1679</v>
      </c>
    </row>
    <row r="14" spans="1:3">
      <c r="A14" s="1" t="s">
        <v>1680</v>
      </c>
      <c r="B14" s="1" t="s">
        <v>1681</v>
      </c>
      <c r="C14" s="1" t="s">
        <v>1682</v>
      </c>
    </row>
    <row r="15" spans="1:3">
      <c r="A15" s="1" t="s">
        <v>1683</v>
      </c>
      <c r="B15" s="1" t="s">
        <v>1684</v>
      </c>
      <c r="C15" s="1" t="s">
        <v>1685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workbookViewId="0"/>
  </sheetViews>
  <sheetFormatPr defaultRowHeight="14"/>
  <cols>
    <col min="1" max="1" width="32" customWidth="1"/>
    <col min="2" max="2" width="84" customWidth="1"/>
  </cols>
  <sheetData>
    <row r="1" spans="1:2">
      <c r="A1" s="2" t="s">
        <v>1686</v>
      </c>
      <c r="B1" s="2" t="s">
        <v>1687</v>
      </c>
    </row>
    <row r="2" spans="1:2">
      <c r="A2" s="1" t="s">
        <v>12</v>
      </c>
      <c r="B2" s="1" t="s">
        <v>1688</v>
      </c>
    </row>
    <row r="3" spans="1:2">
      <c r="A3" s="1" t="s">
        <v>14</v>
      </c>
      <c r="B3" s="1" t="s">
        <v>1689</v>
      </c>
    </row>
    <row r="4" spans="1:2">
      <c r="A4" s="1" t="s">
        <v>16</v>
      </c>
      <c r="B4" s="1" t="s">
        <v>1690</v>
      </c>
    </row>
    <row r="5" spans="1:2">
      <c r="A5" s="1" t="s">
        <v>1691</v>
      </c>
      <c r="B5" s="1" t="s">
        <v>1692</v>
      </c>
    </row>
    <row r="6" spans="1:2" ht="28">
      <c r="A6" s="1" t="s">
        <v>1693</v>
      </c>
      <c r="B6" s="1" t="s">
        <v>1694</v>
      </c>
    </row>
    <row r="7" spans="1:2">
      <c r="A7" s="1" t="s">
        <v>1695</v>
      </c>
      <c r="B7" s="1" t="s">
        <v>1696</v>
      </c>
    </row>
    <row r="8" spans="1:2" ht="28">
      <c r="A8" s="1" t="s">
        <v>1697</v>
      </c>
      <c r="B8" s="1" t="s">
        <v>1698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README</vt:lpstr>
      <vt:lpstr>Experiments</vt:lpstr>
      <vt:lpstr>Summary</vt:lpstr>
      <vt:lpstr>Bibliography</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Zihao Xiong</cp:lastModifiedBy>
  <dcterms:modified xsi:type="dcterms:W3CDTF">2026-04-26T12:56:13Z</dcterms:modified>
</cp:coreProperties>
</file>